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BA289170-120C-234E-9CB0-4AF66C082DAD}" xr6:coauthVersionLast="47" xr6:coauthVersionMax="47" xr10:uidLastSave="{00000000-0000-0000-0000-000000000000}"/>
  <bookViews>
    <workbookView xWindow="51240" yWindow="21400" windowWidth="28800" windowHeight="18980" xr2:uid="{5678E890-3691-CF46-80E7-00FB1F103661}"/>
  </bookViews>
  <sheets>
    <sheet name="8.2.1.1" sheetId="3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3" l="1"/>
  <c r="H18" i="3" s="1"/>
  <c r="F18" i="3"/>
  <c r="I18" i="3" s="1"/>
  <c r="M18" i="3" s="1"/>
  <c r="G18" i="3"/>
  <c r="J18" i="3" s="1"/>
  <c r="N18" i="3" s="1"/>
  <c r="E19" i="3"/>
  <c r="H19" i="3" s="1"/>
  <c r="F19" i="3"/>
  <c r="I19" i="3" s="1"/>
  <c r="G19" i="3"/>
  <c r="J19" i="3" s="1"/>
  <c r="E20" i="3"/>
  <c r="F20" i="3"/>
  <c r="I20" i="3" s="1"/>
  <c r="G20" i="3"/>
  <c r="J20" i="3" s="1"/>
  <c r="E21" i="3"/>
  <c r="F21" i="3"/>
  <c r="I21" i="3" s="1"/>
  <c r="G21" i="3"/>
  <c r="J21" i="3" s="1"/>
  <c r="E22" i="3"/>
  <c r="F22" i="3"/>
  <c r="I22" i="3" s="1"/>
  <c r="G22" i="3"/>
  <c r="J22" i="3" s="1"/>
  <c r="E23" i="3"/>
  <c r="H23" i="3" s="1"/>
  <c r="L23" i="3" s="1"/>
  <c r="F23" i="3"/>
  <c r="I23" i="3" s="1"/>
  <c r="G23" i="3"/>
  <c r="J23" i="3" s="1"/>
  <c r="E24" i="3"/>
  <c r="H24" i="3" s="1"/>
  <c r="F24" i="3"/>
  <c r="I24" i="3" s="1"/>
  <c r="M24" i="3" s="1"/>
  <c r="G24" i="3"/>
  <c r="J24" i="3" s="1"/>
  <c r="E25" i="3"/>
  <c r="F25" i="3"/>
  <c r="I25" i="3" s="1"/>
  <c r="G25" i="3"/>
  <c r="J25" i="3" s="1"/>
  <c r="E58" i="3"/>
  <c r="H58" i="3" s="1"/>
  <c r="L58" i="3" s="1"/>
  <c r="F58" i="3"/>
  <c r="I58" i="3" s="1"/>
  <c r="M58" i="3" s="1"/>
  <c r="G58" i="3"/>
  <c r="J58" i="3" s="1"/>
  <c r="E59" i="3"/>
  <c r="F59" i="3"/>
  <c r="I59" i="3" s="1"/>
  <c r="G59" i="3"/>
  <c r="J59" i="3" s="1"/>
  <c r="E60" i="3"/>
  <c r="F60" i="3"/>
  <c r="I60" i="3" s="1"/>
  <c r="G60" i="3"/>
  <c r="J60" i="3" s="1"/>
  <c r="E61" i="3"/>
  <c r="H61" i="3" s="1"/>
  <c r="L61" i="3" s="1"/>
  <c r="F61" i="3"/>
  <c r="I61" i="3" s="1"/>
  <c r="M61" i="3" s="1"/>
  <c r="G61" i="3"/>
  <c r="J61" i="3" s="1"/>
  <c r="E62" i="3"/>
  <c r="F62" i="3"/>
  <c r="I62" i="3" s="1"/>
  <c r="M62" i="3" s="1"/>
  <c r="G62" i="3"/>
  <c r="J62" i="3" s="1"/>
  <c r="N62" i="3" s="1"/>
  <c r="G17" i="3"/>
  <c r="J17" i="3" s="1"/>
  <c r="F17" i="3"/>
  <c r="I17" i="3" s="1"/>
  <c r="E17" i="3"/>
  <c r="H17" i="3" s="1"/>
  <c r="N61" i="3" l="1"/>
  <c r="K21" i="3"/>
  <c r="K60" i="3"/>
  <c r="N58" i="3"/>
  <c r="K22" i="3"/>
  <c r="K20" i="3"/>
  <c r="N23" i="3"/>
  <c r="K24" i="3"/>
  <c r="N24" i="3"/>
  <c r="M23" i="3"/>
  <c r="K62" i="3"/>
  <c r="K18" i="3"/>
  <c r="K59" i="3"/>
  <c r="L24" i="3"/>
  <c r="K58" i="3"/>
  <c r="H20" i="3"/>
  <c r="L20" i="3" s="1"/>
  <c r="H62" i="3"/>
  <c r="L62" i="3" s="1"/>
  <c r="N20" i="3"/>
  <c r="M20" i="3"/>
  <c r="L18" i="3"/>
  <c r="M22" i="3"/>
  <c r="M60" i="3"/>
  <c r="H59" i="3"/>
  <c r="L59" i="3" s="1"/>
  <c r="H21" i="3"/>
  <c r="L21" i="3" s="1"/>
  <c r="K61" i="3"/>
  <c r="K23" i="3"/>
  <c r="H60" i="3"/>
  <c r="L60" i="3" s="1"/>
  <c r="N25" i="3"/>
  <c r="H22" i="3"/>
  <c r="L22" i="3" s="1"/>
  <c r="N19" i="3"/>
  <c r="M19" i="3"/>
  <c r="N59" i="3"/>
  <c r="N21" i="3"/>
  <c r="M59" i="3"/>
  <c r="M21" i="3"/>
  <c r="M25" i="3"/>
  <c r="L19" i="3"/>
  <c r="K25" i="3"/>
  <c r="K19" i="3"/>
  <c r="N60" i="3"/>
  <c r="H25" i="3"/>
  <c r="L25" i="3" s="1"/>
  <c r="N22" i="3"/>
  <c r="E32" i="3" l="1"/>
  <c r="F32" i="3"/>
  <c r="G32" i="3"/>
  <c r="K32" i="3" s="1"/>
  <c r="H32" i="3"/>
  <c r="I32" i="3"/>
  <c r="J32" i="3"/>
  <c r="E33" i="3"/>
  <c r="F33" i="3"/>
  <c r="G33" i="3"/>
  <c r="H33" i="3"/>
  <c r="I33" i="3"/>
  <c r="E27" i="3"/>
  <c r="F27" i="3"/>
  <c r="G27" i="3"/>
  <c r="H27" i="3"/>
  <c r="I27" i="3"/>
  <c r="J27" i="3"/>
  <c r="E28" i="3"/>
  <c r="F28" i="3"/>
  <c r="G28" i="3"/>
  <c r="H28" i="3"/>
  <c r="I28" i="3"/>
  <c r="J28" i="3"/>
  <c r="E29" i="3"/>
  <c r="F29" i="3"/>
  <c r="G29" i="3"/>
  <c r="H29" i="3"/>
  <c r="I29" i="3"/>
  <c r="J29" i="3"/>
  <c r="E30" i="3"/>
  <c r="F30" i="3"/>
  <c r="G30" i="3"/>
  <c r="H30" i="3"/>
  <c r="I30" i="3"/>
  <c r="J30" i="3"/>
  <c r="E31" i="3"/>
  <c r="F31" i="3"/>
  <c r="G31" i="3"/>
  <c r="H31" i="3"/>
  <c r="I31" i="3"/>
  <c r="J31" i="3"/>
  <c r="I26" i="3"/>
  <c r="H26" i="3"/>
  <c r="G26" i="3"/>
  <c r="F26" i="3"/>
  <c r="E26" i="3"/>
  <c r="J26" i="3"/>
  <c r="AC45" i="3"/>
  <c r="J33" i="3" s="1"/>
  <c r="AB45" i="3"/>
  <c r="AC44" i="3"/>
  <c r="AB44" i="3"/>
  <c r="G10" i="3"/>
  <c r="J10" i="3" s="1"/>
  <c r="G56" i="3"/>
  <c r="J56" i="3" s="1"/>
  <c r="G57" i="3"/>
  <c r="J57" i="3" s="1"/>
  <c r="G11" i="3"/>
  <c r="J11" i="3" s="1"/>
  <c r="G12" i="3"/>
  <c r="J12" i="3" s="1"/>
  <c r="G13" i="3"/>
  <c r="J13" i="3" s="1"/>
  <c r="G14" i="3"/>
  <c r="J14" i="3" s="1"/>
  <c r="G15" i="3"/>
  <c r="J15" i="3" s="1"/>
  <c r="G16" i="3"/>
  <c r="J16" i="3" s="1"/>
  <c r="E10" i="3"/>
  <c r="F10" i="3"/>
  <c r="I10" i="3" s="1"/>
  <c r="E56" i="3"/>
  <c r="F56" i="3"/>
  <c r="I56" i="3" s="1"/>
  <c r="E57" i="3"/>
  <c r="F57" i="3"/>
  <c r="I57" i="3" s="1"/>
  <c r="E11" i="3"/>
  <c r="F11" i="3"/>
  <c r="I11" i="3" s="1"/>
  <c r="E12" i="3"/>
  <c r="F12" i="3"/>
  <c r="I12" i="3" s="1"/>
  <c r="E13" i="3"/>
  <c r="F13" i="3"/>
  <c r="I13" i="3" s="1"/>
  <c r="E14" i="3"/>
  <c r="F14" i="3"/>
  <c r="I14" i="3" s="1"/>
  <c r="E15" i="3"/>
  <c r="F15" i="3"/>
  <c r="I15" i="3" s="1"/>
  <c r="E16" i="3"/>
  <c r="F16" i="3"/>
  <c r="I16" i="3" s="1"/>
  <c r="G9" i="3"/>
  <c r="J9" i="3" s="1"/>
  <c r="F9" i="3"/>
  <c r="I9" i="3" s="1"/>
  <c r="E9" i="3"/>
  <c r="E6" i="3"/>
  <c r="F6" i="3"/>
  <c r="G6" i="3"/>
  <c r="H6" i="3"/>
  <c r="I6" i="3"/>
  <c r="J6" i="3"/>
  <c r="E40" i="3"/>
  <c r="F40" i="3"/>
  <c r="G40" i="3"/>
  <c r="H40" i="3"/>
  <c r="I40" i="3"/>
  <c r="J40" i="3"/>
  <c r="E7" i="3"/>
  <c r="F7" i="3"/>
  <c r="G7" i="3"/>
  <c r="H7" i="3"/>
  <c r="I7" i="3"/>
  <c r="J7" i="3"/>
  <c r="E8" i="3"/>
  <c r="F8" i="3"/>
  <c r="G8" i="3"/>
  <c r="H8" i="3"/>
  <c r="I8" i="3"/>
  <c r="J8" i="3"/>
  <c r="E41" i="3"/>
  <c r="F41" i="3"/>
  <c r="G41" i="3"/>
  <c r="H41" i="3"/>
  <c r="I41" i="3"/>
  <c r="J41" i="3"/>
  <c r="E42" i="3"/>
  <c r="F42" i="3"/>
  <c r="G42" i="3"/>
  <c r="H42" i="3"/>
  <c r="I42" i="3"/>
  <c r="J42" i="3"/>
  <c r="E43" i="3"/>
  <c r="F43" i="3"/>
  <c r="G43" i="3"/>
  <c r="H43" i="3"/>
  <c r="I43" i="3"/>
  <c r="J43" i="3"/>
  <c r="E44" i="3"/>
  <c r="F44" i="3"/>
  <c r="G44" i="3"/>
  <c r="H44" i="3"/>
  <c r="I44" i="3"/>
  <c r="J44" i="3"/>
  <c r="E45" i="3"/>
  <c r="F45" i="3"/>
  <c r="G45" i="3"/>
  <c r="H45" i="3"/>
  <c r="I45" i="3"/>
  <c r="J45" i="3"/>
  <c r="E46" i="3"/>
  <c r="F46" i="3"/>
  <c r="G46" i="3"/>
  <c r="H46" i="3"/>
  <c r="I46" i="3"/>
  <c r="J46" i="3"/>
  <c r="E47" i="3"/>
  <c r="F47" i="3"/>
  <c r="G47" i="3"/>
  <c r="H47" i="3"/>
  <c r="I47" i="3"/>
  <c r="J47" i="3"/>
  <c r="E48" i="3"/>
  <c r="F48" i="3"/>
  <c r="G48" i="3"/>
  <c r="H48" i="3"/>
  <c r="I48" i="3"/>
  <c r="J48" i="3"/>
  <c r="E49" i="3"/>
  <c r="F49" i="3"/>
  <c r="G49" i="3"/>
  <c r="H49" i="3"/>
  <c r="I49" i="3"/>
  <c r="J49" i="3"/>
  <c r="E50" i="3"/>
  <c r="F50" i="3"/>
  <c r="G50" i="3"/>
  <c r="H50" i="3"/>
  <c r="I50" i="3"/>
  <c r="J50" i="3"/>
  <c r="E51" i="3"/>
  <c r="F51" i="3"/>
  <c r="G51" i="3"/>
  <c r="H51" i="3"/>
  <c r="I51" i="3"/>
  <c r="J51" i="3"/>
  <c r="E52" i="3"/>
  <c r="F52" i="3"/>
  <c r="G52" i="3"/>
  <c r="H52" i="3"/>
  <c r="I52" i="3"/>
  <c r="J52" i="3"/>
  <c r="E53" i="3"/>
  <c r="F53" i="3"/>
  <c r="G53" i="3"/>
  <c r="H53" i="3"/>
  <c r="I53" i="3"/>
  <c r="J53" i="3"/>
  <c r="E54" i="3"/>
  <c r="F54" i="3"/>
  <c r="G54" i="3"/>
  <c r="H54" i="3"/>
  <c r="I54" i="3"/>
  <c r="J54" i="3"/>
  <c r="E55" i="3"/>
  <c r="F55" i="3"/>
  <c r="G55" i="3"/>
  <c r="H55" i="3"/>
  <c r="I55" i="3"/>
  <c r="J55" i="3"/>
  <c r="F5" i="3"/>
  <c r="J5" i="3"/>
  <c r="I5" i="3"/>
  <c r="H5" i="3"/>
  <c r="G5" i="3"/>
  <c r="E5" i="3"/>
  <c r="N31" i="3" l="1"/>
  <c r="N26" i="3"/>
  <c r="K30" i="3"/>
  <c r="N5" i="3"/>
  <c r="N9" i="3"/>
  <c r="M56" i="3"/>
  <c r="N28" i="3"/>
  <c r="N33" i="3"/>
  <c r="N52" i="3"/>
  <c r="N48" i="3"/>
  <c r="N46" i="3"/>
  <c r="N44" i="3"/>
  <c r="N42" i="3"/>
  <c r="N8" i="3"/>
  <c r="N40" i="3"/>
  <c r="K29" i="3"/>
  <c r="N29" i="3"/>
  <c r="K27" i="3"/>
  <c r="N27" i="3"/>
  <c r="L32" i="3"/>
  <c r="N32" i="3"/>
  <c r="N54" i="3"/>
  <c r="K43" i="3"/>
  <c r="L26" i="3"/>
  <c r="L31" i="3"/>
  <c r="M31" i="3"/>
  <c r="K31" i="3"/>
  <c r="N50" i="3"/>
  <c r="N55" i="3"/>
  <c r="N53" i="3"/>
  <c r="N51" i="3"/>
  <c r="N49" i="3"/>
  <c r="N47" i="3"/>
  <c r="N45" i="3"/>
  <c r="N43" i="3"/>
  <c r="N41" i="3"/>
  <c r="K7" i="3"/>
  <c r="N7" i="3"/>
  <c r="N6" i="3"/>
  <c r="L30" i="3"/>
  <c r="N30" i="3"/>
  <c r="H13" i="3"/>
  <c r="L13" i="3" s="1"/>
  <c r="N13" i="3"/>
  <c r="N11" i="3"/>
  <c r="H16" i="3"/>
  <c r="L16" i="3" s="1"/>
  <c r="N16" i="3"/>
  <c r="H12" i="3"/>
  <c r="L12" i="3" s="1"/>
  <c r="N12" i="3"/>
  <c r="H57" i="3"/>
  <c r="L57" i="3" s="1"/>
  <c r="N57" i="3"/>
  <c r="H14" i="3"/>
  <c r="L14" i="3" s="1"/>
  <c r="N14" i="3"/>
  <c r="H10" i="3"/>
  <c r="L10" i="3" s="1"/>
  <c r="N10" i="3"/>
  <c r="L17" i="3"/>
  <c r="N17" i="3"/>
  <c r="H15" i="3"/>
  <c r="L15" i="3" s="1"/>
  <c r="N15" i="3"/>
  <c r="H56" i="3"/>
  <c r="L56" i="3" s="1"/>
  <c r="N56" i="3"/>
  <c r="M13" i="3"/>
  <c r="M55" i="3"/>
  <c r="K51" i="3"/>
  <c r="M28" i="3"/>
  <c r="M27" i="3"/>
  <c r="L27" i="3"/>
  <c r="M7" i="3"/>
  <c r="M33" i="3"/>
  <c r="K44" i="3"/>
  <c r="M30" i="3"/>
  <c r="M32" i="3"/>
  <c r="L33" i="3"/>
  <c r="K33" i="3"/>
  <c r="L28" i="3"/>
  <c r="K28" i="3"/>
  <c r="M29" i="3"/>
  <c r="L29" i="3"/>
  <c r="M26" i="3"/>
  <c r="K13" i="3"/>
  <c r="M57" i="3"/>
  <c r="K26" i="3"/>
  <c r="K52" i="3"/>
  <c r="M15" i="3"/>
  <c r="L51" i="3"/>
  <c r="M14" i="3"/>
  <c r="M11" i="3"/>
  <c r="M9" i="3"/>
  <c r="K9" i="3"/>
  <c r="H9" i="3"/>
  <c r="L9" i="3" s="1"/>
  <c r="K11" i="3"/>
  <c r="K15" i="3"/>
  <c r="K57" i="3"/>
  <c r="M17" i="3"/>
  <c r="K17" i="3"/>
  <c r="K56" i="3"/>
  <c r="M16" i="3"/>
  <c r="M12" i="3"/>
  <c r="M10" i="3"/>
  <c r="K14" i="3"/>
  <c r="K16" i="3"/>
  <c r="K12" i="3"/>
  <c r="K10" i="3"/>
  <c r="H11" i="3"/>
  <c r="L11" i="3" s="1"/>
  <c r="L8" i="3"/>
  <c r="K42" i="3"/>
  <c r="K45" i="3"/>
  <c r="L43" i="3"/>
  <c r="L7" i="3"/>
  <c r="K40" i="3"/>
  <c r="L55" i="3"/>
  <c r="K48" i="3"/>
  <c r="L47" i="3"/>
  <c r="K41" i="3"/>
  <c r="M44" i="3"/>
  <c r="M8" i="3"/>
  <c r="L44" i="3"/>
  <c r="K6" i="3"/>
  <c r="K50" i="3"/>
  <c r="M43" i="3"/>
  <c r="K53" i="3"/>
  <c r="M52" i="3"/>
  <c r="M51" i="3"/>
  <c r="L52" i="3"/>
  <c r="K47" i="3"/>
  <c r="K49" i="3"/>
  <c r="K55" i="3"/>
  <c r="K8" i="3"/>
  <c r="K46" i="3"/>
  <c r="K54" i="3"/>
  <c r="M48" i="3"/>
  <c r="M47" i="3"/>
  <c r="L48" i="3"/>
  <c r="M49" i="3"/>
  <c r="M6" i="3"/>
  <c r="M53" i="3"/>
  <c r="L53" i="3"/>
  <c r="L49" i="3"/>
  <c r="L45" i="3"/>
  <c r="L41" i="3"/>
  <c r="L6" i="3"/>
  <c r="M45" i="3"/>
  <c r="M41" i="3"/>
  <c r="M54" i="3"/>
  <c r="M50" i="3"/>
  <c r="M46" i="3"/>
  <c r="M42" i="3"/>
  <c r="M40" i="3"/>
  <c r="L54" i="3"/>
  <c r="L50" i="3"/>
  <c r="L46" i="3"/>
  <c r="L42" i="3"/>
  <c r="L40" i="3"/>
  <c r="L5" i="3"/>
  <c r="M5" i="3"/>
  <c r="K5" i="3"/>
</calcChain>
</file>

<file path=xl/sharedStrings.xml><?xml version="1.0" encoding="utf-8"?>
<sst xmlns="http://schemas.openxmlformats.org/spreadsheetml/2006/main" count="319" uniqueCount="94">
  <si>
    <t>Method 1</t>
  </si>
  <si>
    <r>
      <t>𝐸</t>
    </r>
    <r>
      <rPr>
        <sz val="8"/>
        <color rgb="FF000000"/>
        <rFont val="Helvetica"/>
        <family val="2"/>
      </rPr>
      <t xml:space="preserve">𝑔 </t>
    </r>
    <r>
      <rPr>
        <sz val="11"/>
        <color rgb="FF000000"/>
        <rFont val="Helvetica"/>
        <family val="2"/>
      </rPr>
      <t>= ∑ ∑ 𝑄</t>
    </r>
    <r>
      <rPr>
        <sz val="8"/>
        <color rgb="FF000000"/>
        <rFont val="Helvetica"/>
        <family val="2"/>
      </rPr>
      <t xml:space="preserve">𝑇𝑟𝑎𝑛𝑠,𝑡𝑞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 xml:space="preserve">𝑇𝑟𝑎𝑛𝑠,1,𝑡𝑞𝑔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</si>
  <si>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Egco2</t>
  </si>
  <si>
    <t>Q</t>
  </si>
  <si>
    <t>Fuel type</t>
  </si>
  <si>
    <t>EC</t>
  </si>
  <si>
    <t>Energy content</t>
  </si>
  <si>
    <t>Eftrans co2</t>
  </si>
  <si>
    <t>Eftrans ch4</t>
  </si>
  <si>
    <t>Eftrans n2o</t>
  </si>
  <si>
    <t>Fuel combusted</t>
  </si>
  <si>
    <t>Scope 1 Emission Factor (kg CO2-e/GJ) Combined gases</t>
  </si>
  <si>
    <t>Diesel oil</t>
  </si>
  <si>
    <t>Fuel oil</t>
  </si>
  <si>
    <t>EC units</t>
  </si>
  <si>
    <t>GJ/kL</t>
  </si>
  <si>
    <t>Scope 3 EF</t>
  </si>
  <si>
    <t>Egch4</t>
  </si>
  <si>
    <t>Egn2o</t>
  </si>
  <si>
    <t>Energy Content factor (GJ/t)</t>
  </si>
  <si>
    <t>Bituminous coal</t>
  </si>
  <si>
    <t>Sub-bituminous coal</t>
  </si>
  <si>
    <t>Anthracite</t>
  </si>
  <si>
    <t>Brown coal (lignite)</t>
  </si>
  <si>
    <t>Coking coal</t>
  </si>
  <si>
    <t>Coal briquettes</t>
  </si>
  <si>
    <t>Coal coke</t>
  </si>
  <si>
    <t>Coal tar</t>
  </si>
  <si>
    <t>Other solid fossil fuels</t>
  </si>
  <si>
    <t>Industrial materials derived from fossil fuels</t>
  </si>
  <si>
    <t>Passenger car tyres</t>
  </si>
  <si>
    <t>Truck and off-road tyres</t>
  </si>
  <si>
    <t>Non-biomass municipal materials</t>
  </si>
  <si>
    <t>Dry wood</t>
  </si>
  <si>
    <t>Green and air dried wood</t>
  </si>
  <si>
    <t>Sulphite lyes</t>
  </si>
  <si>
    <t>Bagasse</t>
  </si>
  <si>
    <t>Charcoal</t>
  </si>
  <si>
    <t>Other primary solid biomass fuels</t>
  </si>
  <si>
    <t>Biomass,  municipal and industrial materials</t>
  </si>
  <si>
    <t>Scope 1 EF CO2 (kg CO2-e/GJ)</t>
  </si>
  <si>
    <t>Scope 1 EF CH4 (kg CO2-e/GJ)</t>
  </si>
  <si>
    <t>Scope 3 EF (kg CO2-e /GJ)</t>
  </si>
  <si>
    <t>Solid fuels</t>
  </si>
  <si>
    <t>Amount of fuel combusted tonnes</t>
  </si>
  <si>
    <t>Liquid fuels</t>
  </si>
  <si>
    <t>Petroleum based oils other than fuels</t>
  </si>
  <si>
    <t>Petroleum based greases</t>
  </si>
  <si>
    <t>Crude oil and condensates</t>
  </si>
  <si>
    <t>Other natural gas liquids</t>
  </si>
  <si>
    <t>Automotive gasoline/petrol</t>
  </si>
  <si>
    <t>Aviation gasoline</t>
  </si>
  <si>
    <t>Kerosene</t>
  </si>
  <si>
    <t>Aviation turbine fuel/kerosene</t>
  </si>
  <si>
    <t>Heating oil</t>
  </si>
  <si>
    <t>EF units</t>
  </si>
  <si>
    <t>GJ/t</t>
  </si>
  <si>
    <t>State</t>
  </si>
  <si>
    <t>nsw</t>
  </si>
  <si>
    <t>Gaseous fuels</t>
  </si>
  <si>
    <t>Natural gas</t>
  </si>
  <si>
    <t>State or territory </t>
  </si>
  <si>
    <t>Metro</t>
  </si>
  <si>
    <t>Non-Metro</t>
  </si>
  <si>
    <t>13.1 </t>
  </si>
  <si>
    <t>4.0 </t>
  </si>
  <si>
    <t>8.8 </t>
  </si>
  <si>
    <t>10.7 </t>
  </si>
  <si>
    <t>4.1 </t>
  </si>
  <si>
    <t>Scope 3 EF for Natural Gas (kg CO2-e/GJ)</t>
  </si>
  <si>
    <t>vic</t>
  </si>
  <si>
    <t>qld</t>
  </si>
  <si>
    <t>sa</t>
  </si>
  <si>
    <t>wa_sw</t>
  </si>
  <si>
    <t>wa_nw</t>
  </si>
  <si>
    <t>tas</t>
  </si>
  <si>
    <t>nt</t>
  </si>
  <si>
    <r>
      <t>𝐸</t>
    </r>
    <r>
      <rPr>
        <sz val="8"/>
        <color rgb="FF000000"/>
        <rFont val="Helvetica"/>
        <family val="2"/>
      </rPr>
      <t xml:space="preserve">𝑊𝑇𝑇,𝑆𝐶,𝑞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𝑆𝐶,𝑞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𝑆𝐶,𝑞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𝑆𝐶,3,𝑞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</si>
  <si>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Ewwtscq</t>
  </si>
  <si>
    <t>NE</t>
  </si>
  <si>
    <t>Liquefied aromatic hydrocarbons</t>
  </si>
  <si>
    <t>Solvents: mineral turpentine or white spirits</t>
  </si>
  <si>
    <t>Liquefied petroleum gas</t>
  </si>
  <si>
    <t>Naphtha</t>
  </si>
  <si>
    <t>Petroleum coke</t>
  </si>
  <si>
    <t>Refinery gas and liquids</t>
  </si>
  <si>
    <t>Refinery coke</t>
  </si>
  <si>
    <t>Other petroleum products</t>
  </si>
  <si>
    <t>Biodiesel</t>
  </si>
  <si>
    <t>Ethanol</t>
  </si>
  <si>
    <t>Other biofuels</t>
  </si>
  <si>
    <t>Renewable aviation kerosene</t>
  </si>
  <si>
    <t>Renewable diesel</t>
  </si>
  <si>
    <t>Fuels with no scope 3 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</si>
</sst>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C83"/>
  <sheetViews>
    <sheetView tabSelected="1" topLeftCell="A4" workbookViewId="0">
      <selection activeCell="AC43" sqref="AC43"/>
    </sheetView>
  </sheetViews>
  <sheetFormatPr baseColWidth="10" defaultRowHeight="16"/>
  <cols>
    <col min="1" max="1" width="12.33203125" bestFit="1" customWidth="1"/>
    <col min="2" max="2" width="36.33203125" customWidth="1"/>
    <col min="3" max="4" width="14" customWidth="1"/>
    <col min="6" max="6" width="7" customWidth="1"/>
    <col min="7" max="7" width="10.83203125" customWidth="1"/>
    <col min="8" max="9" width="10.1640625" bestFit="1" customWidth="1"/>
    <col min="10" max="15" width="10.1640625" customWidth="1"/>
    <col min="16" max="16" width="11.1640625" customWidth="1"/>
    <col min="17" max="17" width="30.83203125" bestFit="1" customWidth="1"/>
    <col min="18" max="19" width="24.1640625" customWidth="1"/>
    <col min="20" max="20" width="25" customWidth="1"/>
    <col min="21" max="21" width="14" bestFit="1" customWidth="1"/>
    <col min="22" max="22" width="17.6640625" bestFit="1" customWidth="1"/>
    <col min="23" max="23" width="17" bestFit="1" customWidth="1"/>
    <col min="24" max="24" width="16.5" customWidth="1"/>
    <col min="27" max="27" width="18.83203125" customWidth="1"/>
    <col min="28" max="28" width="23.5" customWidth="1"/>
    <col min="29" max="29" width="22.5" customWidth="1"/>
  </cols>
  <sheetData>
    <row r="1" spans="1:24" ht="17">
      <c r="A1" s="3" t="s">
        <v>0</v>
      </c>
      <c r="K1" s="1" t="s">
        <v>1</v>
      </c>
    </row>
    <row r="3" spans="1:24" ht="51">
      <c r="C3" s="7" t="s">
        <v>44</v>
      </c>
      <c r="D3" s="7"/>
      <c r="E3" s="7" t="s">
        <v>6</v>
      </c>
      <c r="F3" s="7"/>
      <c r="H3" s="7"/>
      <c r="I3" s="7"/>
      <c r="J3" s="7"/>
      <c r="K3" s="1"/>
      <c r="L3" s="7"/>
      <c r="M3" s="7"/>
      <c r="N3" s="1" t="s">
        <v>77</v>
      </c>
      <c r="O3" s="7"/>
      <c r="Q3" s="1"/>
    </row>
    <row r="4" spans="1:24" ht="17">
      <c r="A4" s="13" t="s">
        <v>4</v>
      </c>
      <c r="B4" s="4" t="s">
        <v>4</v>
      </c>
      <c r="C4" s="4" t="s">
        <v>3</v>
      </c>
      <c r="D4" s="4" t="s">
        <v>57</v>
      </c>
      <c r="E4" t="s">
        <v>5</v>
      </c>
      <c r="F4" t="s">
        <v>14</v>
      </c>
      <c r="G4" s="7" t="s">
        <v>7</v>
      </c>
      <c r="H4" t="s">
        <v>8</v>
      </c>
      <c r="I4" t="s">
        <v>9</v>
      </c>
      <c r="J4" t="s">
        <v>16</v>
      </c>
      <c r="K4" s="5" t="s">
        <v>2</v>
      </c>
      <c r="L4" s="5" t="s">
        <v>17</v>
      </c>
      <c r="M4" s="5" t="s">
        <v>18</v>
      </c>
      <c r="N4" s="5" t="s">
        <v>78</v>
      </c>
      <c r="R4" s="6"/>
      <c r="S4" s="6"/>
    </row>
    <row r="5" spans="1:24">
      <c r="A5" t="s">
        <v>43</v>
      </c>
      <c r="B5" t="s">
        <v>20</v>
      </c>
      <c r="C5" s="12">
        <v>5</v>
      </c>
      <c r="D5" s="12" t="s">
        <v>58</v>
      </c>
      <c r="E5" s="12">
        <f t="shared" ref="E5:E24" si="0">IF(ISBLANK(A5), "", VLOOKUP($B5, _xlfn.IFS($A5="Solid fuels", $Q$9:$X$28,$A5="Cars and light commercial vehicles (pre 2004)", $Q$44:$Y$48,$A5="Light duty vehicles",$Q$49:$Y$50,$A5="Heavy duty vehicles",$Q$51:$Y$58,$A5="Aviation",$Q$59:$Y$61,$A5="Vessel",$Q$63:$Y$65,TRUE,$Q$66:$Y$66),2,FALSE))</f>
        <v>27</v>
      </c>
      <c r="F5" s="12" t="str">
        <f>IF(ISBLANK(B5), "", VLOOKUP($B5, _xlfn.IFS($A5="Solid fuels", $Q$9:$X$28,$A5="Cars and light commercial vehicles (pre 2004)", $Q$44:$Y$48,$A5="Light duty vehicles",$Q$49:$Y$50,$A5="Heavy duty vehicles",$Q$51:$Y$58,$A5="Aviation",$Q$59:$Y$61,$A5="Vessel",$Q$63:$Y$65,TRUE,$Q$66:$Y$66),3,FALSE))</f>
        <v>GJ/t</v>
      </c>
      <c r="G5" s="12">
        <f>IF(ISBLANK(A5), "", VLOOKUP($B5, _xlfn.IFS($A5="Solid fuels", $Q$9:$X$28,$A5="Cars and light commercial vehicles (pre 2004)", $Q$44:$Y$48,$A5="Light duty vehicles",$Q$49:$Y$50,$A5="Heavy duty vehicles",$Q$51:$Y$58,$A5="Aviation",$Q$59:$Y$61,$A5="Vessel",$Q$63:$Y$65,TRUE,$Q$66:$Y$66),4,FALSE))</f>
        <v>90</v>
      </c>
      <c r="H5" s="12">
        <f>IF(ISBLANK(A5), "", VLOOKUP($B5, _xlfn.IFS($A5="Solid fuels", $Q$9:$X$28,$A5="Cars and light commercial vehicles (pre 2004)", $Q$44:$Y$48,$A5="Light duty vehicles",$Q$49:$Y$50,$A5="Heavy duty vehicles",$Q$51:$Y$58,$A5="Aviation",$Q$59:$Y$61,$A5="Vessel",$Q$63:$Y$65,TRUE,$Q$66:$Y$66),5,FALSE))</f>
        <v>0.04</v>
      </c>
      <c r="I5" s="12">
        <f>IF(ISBLANK(A5), "", VLOOKUP($B5, _xlfn.IFS($A5="Solid fuels", $Q$9:$X$28,$A5="Cars and light commercial vehicles (pre 2004)", $Q$44:$Y$48,$A5="Light duty vehicles",$Q$49:$Y$50,$A5="Heavy duty vehicles",$Q$51:$Y$58,$A5="Aviation",$Q$59:$Y$61,$A5="Vessel",$Q$63:$Y$65,TRUE,$Q$66:$Y$66),6,FALSE))</f>
        <v>0.2</v>
      </c>
      <c r="J5" s="12">
        <f>IF(ISBLANK(A5), "", VLOOKUP($B5, _xlfn.IFS($A5="Solid fuels", $Q$9:$X$28,$A5="Cars and light commercial vehicles (pre 2004)", $Q$44:$Y$48,$A5="Light duty vehicles",$Q$49:$Y$50,$A5="Heavy duty vehicles",$Q$51:$Y$58,$A5="Aviation",$Q$59:$Y$61,$A5="Vessel",$Q$63:$Y$65,TRUE,$Q$66:$Y$66),8,FALSE))</f>
        <v>3</v>
      </c>
      <c r="K5" s="12">
        <f t="shared" ref="K5:K24" si="1">C5*E5*G5/1000</f>
        <v>12.15</v>
      </c>
      <c r="L5" s="12">
        <f t="shared" ref="L5:L24" si="2">C5*E5*H5/1000</f>
        <v>5.4000000000000003E-3</v>
      </c>
      <c r="M5" s="12">
        <f t="shared" ref="M5:M24" si="3">C5*E5*I5/1000</f>
        <v>2.7E-2</v>
      </c>
      <c r="N5" s="12">
        <f>C5*E5*J5/1000</f>
        <v>0.40500000000000003</v>
      </c>
      <c r="O5" s="12"/>
    </row>
    <row r="6" spans="1:24">
      <c r="A6" t="s">
        <v>43</v>
      </c>
      <c r="B6" t="s">
        <v>21</v>
      </c>
      <c r="C6" s="12">
        <v>6</v>
      </c>
      <c r="D6" s="12" t="s">
        <v>58</v>
      </c>
      <c r="E6" s="12">
        <f t="shared" si="0"/>
        <v>21</v>
      </c>
      <c r="F6" s="12" t="str">
        <f t="shared" ref="F6:F24" si="4">IF(ISBLANK(B6), "", VLOOKUP($B6, _xlfn.IFS($A6="Solid fuels", $Q$9:$X$28,$A6="Cars and light commercial vehicles (pre 2004)", $Q$44:$Y$48,$A6="Light duty vehicles",$Q$49:$Y$50,$A6="Heavy duty vehicles",$Q$51:$Y$58,$A6="Aviation",$Q$59:$Y$61,$A6="Vessel",$Q$63:$Y$65,TRUE,$Q$66:$Y$66),3,FALSE))</f>
        <v>GJ/t</v>
      </c>
      <c r="G6" s="12">
        <f t="shared" ref="G6:G24" si="5">IF(ISBLANK(A6), "", VLOOKUP($B6, _xlfn.IFS($A6="Solid fuels", $Q$9:$X$28,$A6="Cars and light commercial vehicles (pre 2004)", $Q$44:$Y$48,$A6="Light duty vehicles",$Q$49:$Y$50,$A6="Heavy duty vehicles",$Q$51:$Y$58,$A6="Aviation",$Q$59:$Y$61,$A6="Vessel",$Q$63:$Y$65,TRUE,$Q$66:$Y$66),4,FALSE))</f>
        <v>90</v>
      </c>
      <c r="H6" s="12">
        <f t="shared" ref="H6:H24" si="6">IF(ISBLANK(A6), "", VLOOKUP($B6, _xlfn.IFS($A6="Solid fuels", $Q$9:$X$28,$A6="Cars and light commercial vehicles (pre 2004)", $Q$44:$Y$48,$A6="Light duty vehicles",$Q$49:$Y$50,$A6="Heavy duty vehicles",$Q$51:$Y$58,$A6="Aviation",$Q$59:$Y$61,$A6="Vessel",$Q$63:$Y$65,TRUE,$Q$66:$Y$66),5,FALSE))</f>
        <v>0.04</v>
      </c>
      <c r="I6" s="12">
        <f t="shared" ref="I6:I24" si="7">IF(ISBLANK(A6), "", VLOOKUP($B6, _xlfn.IFS($A6="Solid fuels", $Q$9:$X$28,$A6="Cars and light commercial vehicles (pre 2004)", $Q$44:$Y$48,$A6="Light duty vehicles",$Q$49:$Y$50,$A6="Heavy duty vehicles",$Q$51:$Y$58,$A6="Aviation",$Q$59:$Y$61,$A6="Vessel",$Q$63:$Y$65,TRUE,$Q$66:$Y$66),6,FALSE))</f>
        <v>0.2</v>
      </c>
      <c r="J6" s="12">
        <f t="shared" ref="J6:J24" si="8">IF(ISBLANK(A6), "", VLOOKUP($B6, _xlfn.IFS($A6="Solid fuels", $Q$9:$X$28,$A6="Cars and light commercial vehicles (pre 2004)", $Q$44:$Y$48,$A6="Light duty vehicles",$Q$49:$Y$50,$A6="Heavy duty vehicles",$Q$51:$Y$58,$A6="Aviation",$Q$59:$Y$61,$A6="Vessel",$Q$63:$Y$65,TRUE,$Q$66:$Y$66),8,FALSE))</f>
        <v>2.5</v>
      </c>
      <c r="K6" s="12">
        <f t="shared" si="1"/>
        <v>11.34</v>
      </c>
      <c r="L6" s="12">
        <f t="shared" si="2"/>
        <v>5.0400000000000002E-3</v>
      </c>
      <c r="M6" s="12">
        <f t="shared" si="3"/>
        <v>2.5200000000000004E-2</v>
      </c>
      <c r="N6" s="12">
        <f t="shared" ref="N6:N43" si="9">C6*E6*J6/1000</f>
        <v>0.315</v>
      </c>
      <c r="O6" s="12"/>
    </row>
    <row r="7" spans="1:24">
      <c r="A7" t="s">
        <v>43</v>
      </c>
      <c r="B7" t="s">
        <v>23</v>
      </c>
      <c r="C7" s="12">
        <v>8</v>
      </c>
      <c r="D7" s="12" t="s">
        <v>58</v>
      </c>
      <c r="E7" s="12">
        <f>IF(ISBLANK(A7), "", VLOOKUP($B7, _xlfn.IFS($A7="Solid fuels", $Q$9:$X$28,$A7="Cars and light commercial vehicles (pre 2004)", $Q$44:$Y$48,$A7="Light duty vehicles",$Q$49:$Y$50,$A7="Heavy duty vehicles",$Q$51:$Y$58,$A7="Aviation",$Q$59:$Y$61,$A7="Vessel",$Q$63:$Y$65,TRUE,$Q$66:$Y$66),2,FALSE))</f>
        <v>10.199999999999999</v>
      </c>
      <c r="F7" s="12" t="str">
        <f>IF(ISBLANK(B7), "", VLOOKUP($B7, _xlfn.IFS($A7="Solid fuels", $Q$9:$X$28,$A7="Cars and light commercial vehicles (pre 2004)", $Q$44:$Y$48,$A7="Light duty vehicles",$Q$49:$Y$50,$A7="Heavy duty vehicles",$Q$51:$Y$58,$A7="Aviation",$Q$59:$Y$61,$A7="Vessel",$Q$63:$Y$65,TRUE,$Q$66:$Y$66),3,FALSE))</f>
        <v>GJ/t</v>
      </c>
      <c r="G7" s="12">
        <f>IF(ISBLANK(A7), "", VLOOKUP($B7, _xlfn.IFS($A7="Solid fuels", $Q$9:$X$28,$A7="Cars and light commercial vehicles (pre 2004)", $Q$44:$Y$48,$A7="Light duty vehicles",$Q$49:$Y$50,$A7="Heavy duty vehicles",$Q$51:$Y$58,$A7="Aviation",$Q$59:$Y$61,$A7="Vessel",$Q$63:$Y$65,TRUE,$Q$66:$Y$66),4,FALSE))</f>
        <v>93.5</v>
      </c>
      <c r="H7" s="12">
        <f>IF(ISBLANK(A7), "", VLOOKUP($B7, _xlfn.IFS($A7="Solid fuels", $Q$9:$X$28,$A7="Cars and light commercial vehicles (pre 2004)", $Q$44:$Y$48,$A7="Light duty vehicles",$Q$49:$Y$50,$A7="Heavy duty vehicles",$Q$51:$Y$58,$A7="Aviation",$Q$59:$Y$61,$A7="Vessel",$Q$63:$Y$65,TRUE,$Q$66:$Y$66),5,FALSE))</f>
        <v>0.02</v>
      </c>
      <c r="I7" s="12">
        <f>IF(ISBLANK(A7), "", VLOOKUP($B7, _xlfn.IFS($A7="Solid fuels", $Q$9:$X$28,$A7="Cars and light commercial vehicles (pre 2004)", $Q$44:$Y$48,$A7="Light duty vehicles",$Q$49:$Y$50,$A7="Heavy duty vehicles",$Q$51:$Y$58,$A7="Aviation",$Q$59:$Y$61,$A7="Vessel",$Q$63:$Y$65,TRUE,$Q$66:$Y$66),6,FALSE))</f>
        <v>0.3</v>
      </c>
      <c r="J7" s="12">
        <f>IF(ISBLANK(A7), "", VLOOKUP($B7, _xlfn.IFS($A7="Solid fuels", $Q$9:$X$28,$A7="Cars and light commercial vehicles (pre 2004)", $Q$44:$Y$48,$A7="Light duty vehicles",$Q$49:$Y$50,$A7="Heavy duty vehicles",$Q$51:$Y$58,$A7="Aviation",$Q$59:$Y$61,$A7="Vessel",$Q$63:$Y$65,TRUE,$Q$66:$Y$66),8,FALSE))</f>
        <v>0.4</v>
      </c>
      <c r="K7" s="12">
        <f>C7*E7*G7/1000</f>
        <v>7.629599999999999</v>
      </c>
      <c r="L7" s="12">
        <f>C7*E7*H7/1000</f>
        <v>1.632E-3</v>
      </c>
      <c r="M7" s="12">
        <f>C7*E7*I7/1000</f>
        <v>2.4479999999999998E-2</v>
      </c>
      <c r="N7" s="12">
        <f>C7*E7*J7/1000</f>
        <v>3.2640000000000002E-2</v>
      </c>
      <c r="O7" s="12"/>
    </row>
    <row r="8" spans="1:24">
      <c r="A8" t="s">
        <v>43</v>
      </c>
      <c r="B8" t="s">
        <v>24</v>
      </c>
      <c r="C8" s="12">
        <v>9</v>
      </c>
      <c r="D8" s="12" t="s">
        <v>58</v>
      </c>
      <c r="E8" s="12">
        <f>IF(ISBLANK(A8), "", VLOOKUP($B8, _xlfn.IFS($A8="Solid fuels", $Q$9:$X$28,$A8="Cars and light commercial vehicles (pre 2004)", $Q$44:$Y$48,$A8="Light duty vehicles",$Q$49:$Y$50,$A8="Heavy duty vehicles",$Q$51:$Y$58,$A8="Aviation",$Q$59:$Y$61,$A8="Vessel",$Q$63:$Y$65,TRUE,$Q$66:$Y$66),2,FALSE))</f>
        <v>30</v>
      </c>
      <c r="F8" s="12" t="str">
        <f>IF(ISBLANK(B8), "", VLOOKUP($B8, _xlfn.IFS($A8="Solid fuels", $Q$9:$X$28,$A8="Cars and light commercial vehicles (pre 2004)", $Q$44:$Y$48,$A8="Light duty vehicles",$Q$49:$Y$50,$A8="Heavy duty vehicles",$Q$51:$Y$58,$A8="Aviation",$Q$59:$Y$61,$A8="Vessel",$Q$63:$Y$65,TRUE,$Q$66:$Y$66),3,FALSE))</f>
        <v>GJ/t</v>
      </c>
      <c r="G8" s="12">
        <f>IF(ISBLANK(A8), "", VLOOKUP($B8, _xlfn.IFS($A8="Solid fuels", $Q$9:$X$28,$A8="Cars and light commercial vehicles (pre 2004)", $Q$44:$Y$48,$A8="Light duty vehicles",$Q$49:$Y$50,$A8="Heavy duty vehicles",$Q$51:$Y$58,$A8="Aviation",$Q$59:$Y$61,$A8="Vessel",$Q$63:$Y$65,TRUE,$Q$66:$Y$66),4,FALSE))</f>
        <v>91.8</v>
      </c>
      <c r="H8" s="12">
        <f>IF(ISBLANK(A8), "", VLOOKUP($B8, _xlfn.IFS($A8="Solid fuels", $Q$9:$X$28,$A8="Cars and light commercial vehicles (pre 2004)", $Q$44:$Y$48,$A8="Light duty vehicles",$Q$49:$Y$50,$A8="Heavy duty vehicles",$Q$51:$Y$58,$A8="Aviation",$Q$59:$Y$61,$A8="Vessel",$Q$63:$Y$65,TRUE,$Q$66:$Y$66),5,FALSE))</f>
        <v>0.03</v>
      </c>
      <c r="I8" s="12">
        <f>IF(ISBLANK(A8), "", VLOOKUP($B8, _xlfn.IFS($A8="Solid fuels", $Q$9:$X$28,$A8="Cars and light commercial vehicles (pre 2004)", $Q$44:$Y$48,$A8="Light duty vehicles",$Q$49:$Y$50,$A8="Heavy duty vehicles",$Q$51:$Y$58,$A8="Aviation",$Q$59:$Y$61,$A8="Vessel",$Q$63:$Y$65,TRUE,$Q$66:$Y$66),6,FALSE))</f>
        <v>0.2</v>
      </c>
      <c r="J8" s="12">
        <f>IF(ISBLANK(A8), "", VLOOKUP($B8, _xlfn.IFS($A8="Solid fuels", $Q$9:$X$28,$A8="Cars and light commercial vehicles (pre 2004)", $Q$44:$Y$48,$A8="Light duty vehicles",$Q$49:$Y$50,$A8="Heavy duty vehicles",$Q$51:$Y$58,$A8="Aviation",$Q$59:$Y$61,$A8="Vessel",$Q$63:$Y$65,TRUE,$Q$66:$Y$66),8,FALSE))</f>
        <v>6.4</v>
      </c>
      <c r="K8" s="12">
        <f>C8*E8*G8/1000</f>
        <v>24.786000000000001</v>
      </c>
      <c r="L8" s="12">
        <f>C8*E8*H8/1000</f>
        <v>8.0999999999999996E-3</v>
      </c>
      <c r="M8" s="12">
        <f>C8*E8*I8/1000</f>
        <v>5.3999999999999999E-2</v>
      </c>
      <c r="N8" s="12">
        <f>C8*E8*J8/1000</f>
        <v>1.728</v>
      </c>
      <c r="O8" s="12"/>
      <c r="Q8" t="s">
        <v>10</v>
      </c>
      <c r="R8" t="s">
        <v>19</v>
      </c>
      <c r="S8" t="s">
        <v>55</v>
      </c>
      <c r="T8" t="s">
        <v>40</v>
      </c>
      <c r="U8" t="s">
        <v>41</v>
      </c>
      <c r="V8" t="s">
        <v>40</v>
      </c>
      <c r="W8" t="s">
        <v>11</v>
      </c>
      <c r="X8" t="s">
        <v>42</v>
      </c>
    </row>
    <row r="9" spans="1:24">
      <c r="A9" t="s">
        <v>45</v>
      </c>
      <c r="B9" t="s">
        <v>46</v>
      </c>
      <c r="C9">
        <v>8</v>
      </c>
      <c r="D9" s="12" t="s">
        <v>58</v>
      </c>
      <c r="E9" s="12">
        <f>IF(ISBLANK(A9), "", VLOOKUP($B9, _xlfn.IFS($A9="Solid fuels", $Q$9:$X$28,$A9="Liquid fuels", $Q$29:$X$39,$A9="Light duty vehicles",$Q$49:$Y$50,$A9="Heavy duty vehicles",$Q$51:$Y$58,$A9="Aviation",$Q$59:$Y$61,$A9="Vessel",$Q$63:$Y$65,TRUE,$Q$66:$Y$66),2,FALSE))</f>
        <v>38.799999999999997</v>
      </c>
      <c r="F9" s="12" t="str">
        <f>IF(ISBLANK(B9), "", VLOOKUP($B9, _xlfn.IFS($A9="Solid fuels", $Q$9:$X$28,$A9="Liquid fuels", $Q$29:$X$39,$A9="Light duty vehicles",$Q$49:$Y$50,$A9="Heavy duty vehicles",$Q$51:$Y$58,$A9="Aviation",$Q$59:$Y$61,$A9="Vessel",$Q$63:$Y$65,TRUE,$Q$66:$Y$66),3,FALSE))</f>
        <v>GJ/kL</v>
      </c>
      <c r="G9" s="12">
        <f>IF(ISBLANK(C9), "", VLOOKUP($B9, _xlfn.IFS($A9="Solid fuels", $Q$9:$X$28,$A9="Liquid fuels", $Q$29:$X$39,$A9="Light duty vehicles",$Q$49:$Y$50,$A9="Heavy duty vehicles",$Q$51:$Y$58,$A9="Aviation",$Q$59:$Y$61,$A9="Vessel",$Q$63:$Y$65,TRUE,$Q$66:$Y$66),4,FALSE))</f>
        <v>13.9</v>
      </c>
      <c r="H9" s="12">
        <f>IF(ISBLANK(E9), "", VLOOKUP($B9, _xlfn.IFS($A9="Solid fuels", $Q$9:$X$28,$A9="Liquid fuels", $Q$29:$X$39,$A9="Light duty vehicles",$Q$49:$Y$50,$A9="Heavy duty vehicles",$Q$51:$Y$58,$A9="Aviation",$Q$59:$Y$61,$A9="Vessel",$Q$63:$Y$65,TRUE,$Q$66:$Y$66),5,FALSE))</f>
        <v>0</v>
      </c>
      <c r="I9" s="12">
        <f>IF(ISBLANK(F9), "", VLOOKUP($B9, _xlfn.IFS($A9="Solid fuels", $Q$9:$X$28,$A9="Liquid fuels", $Q$29:$X$39,$A9="Light duty vehicles",$Q$49:$Y$50,$A9="Heavy duty vehicles",$Q$51:$Y$58,$A9="Aviation",$Q$59:$Y$61,$A9="Vessel",$Q$63:$Y$65,TRUE,$Q$66:$Y$66),6,FALSE))</f>
        <v>0</v>
      </c>
      <c r="J9" s="12">
        <f>IF(ISBLANK(G9), "", VLOOKUP($B9, _xlfn.IFS($A9="Solid fuels", $Q$9:$X$28,$A9="Liquid fuels", $Q$29:$X$39,$A9="Light duty vehicles",$Q$49:$Y$50,$A9="Heavy duty vehicles",$Q$51:$Y$58,$A9="Aviation",$Q$59:$Y$61,$A9="Vessel",$Q$63:$Y$65,TRUE,$Q$66:$Y$66),8,FALSE))</f>
        <v>18</v>
      </c>
      <c r="K9" s="12">
        <f>C9*E9*G9/1000</f>
        <v>4.3145599999999993</v>
      </c>
      <c r="L9" s="12">
        <f>C9*E9*H9/1000</f>
        <v>0</v>
      </c>
      <c r="M9" s="12">
        <f>C9*E9*I9/1000</f>
        <v>0</v>
      </c>
      <c r="N9" s="12">
        <f>C9*E9*J9/1000</f>
        <v>5.5872000000000002</v>
      </c>
      <c r="O9" s="12"/>
      <c r="P9" t="s">
        <v>43</v>
      </c>
      <c r="Q9" t="s">
        <v>20</v>
      </c>
      <c r="R9">
        <v>27</v>
      </c>
      <c r="S9" t="s">
        <v>56</v>
      </c>
      <c r="T9">
        <v>90</v>
      </c>
      <c r="U9">
        <v>0.04</v>
      </c>
      <c r="V9">
        <v>0.2</v>
      </c>
      <c r="W9">
        <v>90.24</v>
      </c>
      <c r="X9">
        <v>3</v>
      </c>
    </row>
    <row r="10" spans="1:24">
      <c r="A10" t="s">
        <v>45</v>
      </c>
      <c r="B10" t="s">
        <v>47</v>
      </c>
      <c r="C10">
        <v>9</v>
      </c>
      <c r="D10" s="12" t="s">
        <v>58</v>
      </c>
      <c r="E10" s="12">
        <f>IF(ISBLANK(A10), "", VLOOKUP($B10, _xlfn.IFS($A10="Solid fuels", $Q$9:$X$28,$A10="Liquid fuels", $Q$29:$X$39,$A10="Light duty vehicles",$Q$49:$Y$50,$A10="Heavy duty vehicles",$Q$51:$Y$58,$A10="Aviation",$Q$59:$Y$61,$A10="Vessel",$Q$63:$Y$65,TRUE,$Q$66:$Y$66),2,FALSE))</f>
        <v>38.799999999999997</v>
      </c>
      <c r="F10" s="12" t="str">
        <f>IF(ISBLANK(B10), "", VLOOKUP($B10, _xlfn.IFS($A10="Solid fuels", $Q$9:$X$28,$A10="Liquid fuels", $Q$29:$X$39,$A10="Light duty vehicles",$Q$49:$Y$50,$A10="Heavy duty vehicles",$Q$51:$Y$58,$A10="Aviation",$Q$59:$Y$61,$A10="Vessel",$Q$63:$Y$65,TRUE,$Q$66:$Y$66),3,FALSE))</f>
        <v>GJ/kL</v>
      </c>
      <c r="G10" s="12">
        <f>IF(ISBLANK(C10), "", VLOOKUP($B10, _xlfn.IFS($A10="Solid fuels", $Q$9:$X$28,$A10="Liquid fuels", $Q$29:$X$39,$A10="Light duty vehicles",$Q$49:$Y$50,$A10="Heavy duty vehicles",$Q$51:$Y$58,$A10="Aviation",$Q$59:$Y$61,$A10="Vessel",$Q$63:$Y$65,TRUE,$Q$66:$Y$66),4,FALSE))</f>
        <v>3.5</v>
      </c>
      <c r="H10" s="12">
        <f>IF(ISBLANK(E10), "", VLOOKUP($B10, _xlfn.IFS($A10="Solid fuels", $Q$9:$X$28,$A10="Liquid fuels", $Q$29:$X$39,$A10="Light duty vehicles",$Q$49:$Y$50,$A10="Heavy duty vehicles",$Q$51:$Y$58,$A10="Aviation",$Q$59:$Y$61,$A10="Vessel",$Q$63:$Y$65,TRUE,$Q$66:$Y$66),5,FALSE))</f>
        <v>0</v>
      </c>
      <c r="I10" s="12">
        <f>IF(ISBLANK(F10), "", VLOOKUP($B10, _xlfn.IFS($A10="Solid fuels", $Q$9:$X$28,$A10="Liquid fuels", $Q$29:$X$39,$A10="Light duty vehicles",$Q$49:$Y$50,$A10="Heavy duty vehicles",$Q$51:$Y$58,$A10="Aviation",$Q$59:$Y$61,$A10="Vessel",$Q$63:$Y$65,TRUE,$Q$66:$Y$66),6,FALSE))</f>
        <v>0</v>
      </c>
      <c r="J10" s="12">
        <f>IF(ISBLANK(G10), "", VLOOKUP($B10, _xlfn.IFS($A10="Solid fuels", $Q$9:$X$28,$A10="Liquid fuels", $Q$29:$X$39,$A10="Light duty vehicles",$Q$49:$Y$50,$A10="Heavy duty vehicles",$Q$51:$Y$58,$A10="Aviation",$Q$59:$Y$61,$A10="Vessel",$Q$63:$Y$65,TRUE,$Q$66:$Y$66),8,FALSE))</f>
        <v>18</v>
      </c>
      <c r="K10" s="12">
        <f>C10*E10*G10/1000</f>
        <v>1.2222</v>
      </c>
      <c r="L10" s="12">
        <f>C10*E10*H10/1000</f>
        <v>0</v>
      </c>
      <c r="M10" s="12">
        <f>C10*E10*I10/1000</f>
        <v>0</v>
      </c>
      <c r="N10" s="12">
        <f>C10*E10*J10/1000</f>
        <v>6.2855999999999996</v>
      </c>
      <c r="O10" s="12"/>
      <c r="Q10" t="s">
        <v>21</v>
      </c>
      <c r="R10">
        <v>21</v>
      </c>
      <c r="S10" t="s">
        <v>56</v>
      </c>
      <c r="T10">
        <v>90</v>
      </c>
      <c r="U10">
        <v>0.04</v>
      </c>
      <c r="V10">
        <v>0.2</v>
      </c>
      <c r="W10">
        <v>90.24</v>
      </c>
      <c r="X10">
        <v>2.5</v>
      </c>
    </row>
    <row r="11" spans="1:24">
      <c r="A11" t="s">
        <v>45</v>
      </c>
      <c r="B11" t="s">
        <v>50</v>
      </c>
      <c r="C11">
        <v>12</v>
      </c>
      <c r="D11" s="12" t="s">
        <v>58</v>
      </c>
      <c r="E11" s="12">
        <f>IF(ISBLANK(A11), "", VLOOKUP($B11, _xlfn.IFS($A11="Solid fuels", $Q$9:$X$28,$A11="Liquid fuels", $Q$29:$X$39,$A11="Light duty vehicles",$Q$49:$Y$50,$A11="Heavy duty vehicles",$Q$51:$Y$58,$A11="Aviation",$Q$59:$Y$61,$A11="Vessel",$Q$63:$Y$65,TRUE,$Q$66:$Y$66),2,FALSE))</f>
        <v>34.200000000000003</v>
      </c>
      <c r="F11" s="12" t="str">
        <f>IF(ISBLANK(B11), "", VLOOKUP($B11, _xlfn.IFS($A11="Solid fuels", $Q$9:$X$28,$A11="Liquid fuels", $Q$29:$X$39,$A11="Light duty vehicles",$Q$49:$Y$50,$A11="Heavy duty vehicles",$Q$51:$Y$58,$A11="Aviation",$Q$59:$Y$61,$A11="Vessel",$Q$63:$Y$65,TRUE,$Q$66:$Y$66),3,FALSE))</f>
        <v>GJ/kL</v>
      </c>
      <c r="G11" s="12">
        <f>IF(ISBLANK(C11), "", VLOOKUP($B11, _xlfn.IFS($A11="Solid fuels", $Q$9:$X$28,$A11="Liquid fuels", $Q$29:$X$39,$A11="Light duty vehicles",$Q$49:$Y$50,$A11="Heavy duty vehicles",$Q$51:$Y$58,$A11="Aviation",$Q$59:$Y$61,$A11="Vessel",$Q$63:$Y$65,TRUE,$Q$66:$Y$66),4,FALSE))</f>
        <v>67.400000000000006</v>
      </c>
      <c r="H11" s="12">
        <f>IF(ISBLANK(E11), "", VLOOKUP($B11, _xlfn.IFS($A11="Solid fuels", $Q$9:$X$28,$A11="Liquid fuels", $Q$29:$X$39,$A11="Light duty vehicles",$Q$49:$Y$50,$A11="Heavy duty vehicles",$Q$51:$Y$58,$A11="Aviation",$Q$59:$Y$61,$A11="Vessel",$Q$63:$Y$65,TRUE,$Q$66:$Y$66),5,FALSE))</f>
        <v>0.2</v>
      </c>
      <c r="I11" s="12">
        <f>IF(ISBLANK(F11), "", VLOOKUP($B11, _xlfn.IFS($A11="Solid fuels", $Q$9:$X$28,$A11="Liquid fuels", $Q$29:$X$39,$A11="Light duty vehicles",$Q$49:$Y$50,$A11="Heavy duty vehicles",$Q$51:$Y$58,$A11="Aviation",$Q$59:$Y$61,$A11="Vessel",$Q$63:$Y$65,TRUE,$Q$66:$Y$66),6,FALSE))</f>
        <v>0.2</v>
      </c>
      <c r="J11" s="12">
        <f>IF(ISBLANK(G11), "", VLOOKUP($B11, _xlfn.IFS($A11="Solid fuels", $Q$9:$X$28,$A11="Liquid fuels", $Q$29:$X$39,$A11="Light duty vehicles",$Q$49:$Y$50,$A11="Heavy duty vehicles",$Q$51:$Y$58,$A11="Aviation",$Q$59:$Y$61,$A11="Vessel",$Q$63:$Y$65,TRUE,$Q$66:$Y$66),8,FALSE))</f>
        <v>17.2</v>
      </c>
      <c r="K11" s="12">
        <f>C11*E11*G11/1000</f>
        <v>27.660960000000006</v>
      </c>
      <c r="L11" s="12">
        <f>C11*E11*H11/1000</f>
        <v>8.2080000000000014E-2</v>
      </c>
      <c r="M11" s="12">
        <f>C11*E11*I11/1000</f>
        <v>8.2080000000000014E-2</v>
      </c>
      <c r="N11" s="12">
        <f>C11*E11*J11/1000</f>
        <v>7.0588800000000003</v>
      </c>
      <c r="O11" s="12"/>
      <c r="Q11" t="s">
        <v>22</v>
      </c>
      <c r="R11">
        <v>29</v>
      </c>
      <c r="S11" t="s">
        <v>56</v>
      </c>
      <c r="T11">
        <v>90</v>
      </c>
      <c r="U11">
        <v>0.04</v>
      </c>
      <c r="V11">
        <v>0.2</v>
      </c>
      <c r="W11">
        <v>90.24</v>
      </c>
      <c r="X11" t="s">
        <v>79</v>
      </c>
    </row>
    <row r="12" spans="1:24">
      <c r="A12" t="s">
        <v>45</v>
      </c>
      <c r="B12" t="s">
        <v>51</v>
      </c>
      <c r="C12">
        <v>13</v>
      </c>
      <c r="D12" s="12" t="s">
        <v>58</v>
      </c>
      <c r="E12" s="12">
        <f>IF(ISBLANK(A12), "", VLOOKUP($B12, _xlfn.IFS($A12="Solid fuels", $Q$9:$X$28,$A12="Liquid fuels", $Q$29:$X$39,$A12="Light duty vehicles",$Q$49:$Y$50,$A12="Heavy duty vehicles",$Q$51:$Y$58,$A12="Aviation",$Q$59:$Y$61,$A12="Vessel",$Q$63:$Y$65,TRUE,$Q$66:$Y$66),2,FALSE))</f>
        <v>33.1</v>
      </c>
      <c r="F12" s="12" t="str">
        <f>IF(ISBLANK(B12), "", VLOOKUP($B12, _xlfn.IFS($A12="Solid fuels", $Q$9:$X$28,$A12="Liquid fuels", $Q$29:$X$39,$A12="Light duty vehicles",$Q$49:$Y$50,$A12="Heavy duty vehicles",$Q$51:$Y$58,$A12="Aviation",$Q$59:$Y$61,$A12="Vessel",$Q$63:$Y$65,TRUE,$Q$66:$Y$66),3,FALSE))</f>
        <v>GJ/kL</v>
      </c>
      <c r="G12" s="12">
        <f>IF(ISBLANK(C12), "", VLOOKUP($B12, _xlfn.IFS($A12="Solid fuels", $Q$9:$X$28,$A12="Liquid fuels", $Q$29:$X$39,$A12="Light duty vehicles",$Q$49:$Y$50,$A12="Heavy duty vehicles",$Q$51:$Y$58,$A12="Aviation",$Q$59:$Y$61,$A12="Vessel",$Q$63:$Y$65,TRUE,$Q$66:$Y$66),4,FALSE))</f>
        <v>67</v>
      </c>
      <c r="H12" s="12">
        <f>IF(ISBLANK(E12), "", VLOOKUP($B12, _xlfn.IFS($A12="Solid fuels", $Q$9:$X$28,$A12="Liquid fuels", $Q$29:$X$39,$A12="Light duty vehicles",$Q$49:$Y$50,$A12="Heavy duty vehicles",$Q$51:$Y$58,$A12="Aviation",$Q$59:$Y$61,$A12="Vessel",$Q$63:$Y$65,TRUE,$Q$66:$Y$66),5,FALSE))</f>
        <v>0.2</v>
      </c>
      <c r="I12" s="12">
        <f>IF(ISBLANK(F12), "", VLOOKUP($B12, _xlfn.IFS($A12="Solid fuels", $Q$9:$X$28,$A12="Liquid fuels", $Q$29:$X$39,$A12="Light duty vehicles",$Q$49:$Y$50,$A12="Heavy duty vehicles",$Q$51:$Y$58,$A12="Aviation",$Q$59:$Y$61,$A12="Vessel",$Q$63:$Y$65,TRUE,$Q$66:$Y$66),6,FALSE))</f>
        <v>0.2</v>
      </c>
      <c r="J12" s="12">
        <f>IF(ISBLANK(G12), "", VLOOKUP($B12, _xlfn.IFS($A12="Solid fuels", $Q$9:$X$28,$A12="Liquid fuels", $Q$29:$X$39,$A12="Light duty vehicles",$Q$49:$Y$50,$A12="Heavy duty vehicles",$Q$51:$Y$58,$A12="Aviation",$Q$59:$Y$61,$A12="Vessel",$Q$63:$Y$65,TRUE,$Q$66:$Y$66),8,FALSE))</f>
        <v>18</v>
      </c>
      <c r="K12" s="12">
        <f>C12*E12*G12/1000</f>
        <v>28.830100000000002</v>
      </c>
      <c r="L12" s="12">
        <f>C12*E12*H12/1000</f>
        <v>8.6059999999999998E-2</v>
      </c>
      <c r="M12" s="12">
        <f>C12*E12*I12/1000</f>
        <v>8.6059999999999998E-2</v>
      </c>
      <c r="N12" s="12">
        <f>C12*E12*J12/1000</f>
        <v>7.745400000000001</v>
      </c>
      <c r="O12" s="12"/>
      <c r="Q12" t="s">
        <v>23</v>
      </c>
      <c r="R12">
        <v>10.199999999999999</v>
      </c>
      <c r="S12" t="s">
        <v>56</v>
      </c>
      <c r="T12">
        <v>93.5</v>
      </c>
      <c r="U12">
        <v>0.02</v>
      </c>
      <c r="V12">
        <v>0.3</v>
      </c>
      <c r="W12">
        <v>93.82</v>
      </c>
      <c r="X12">
        <v>0.4</v>
      </c>
    </row>
    <row r="13" spans="1:24" ht="17">
      <c r="A13" t="s">
        <v>45</v>
      </c>
      <c r="B13" s="7" t="s">
        <v>52</v>
      </c>
      <c r="C13">
        <v>14</v>
      </c>
      <c r="D13" s="12" t="s">
        <v>58</v>
      </c>
      <c r="E13" s="12">
        <f>IF(ISBLANK(A13), "", VLOOKUP($B13, _xlfn.IFS($A13="Solid fuels", $Q$9:$X$28,$A13="Liquid fuels", $Q$29:$X$39,$A13="Light duty vehicles",$Q$49:$Y$50,$A13="Heavy duty vehicles",$Q$51:$Y$58,$A13="Aviation",$Q$59:$Y$61,$A13="Vessel",$Q$63:$Y$65,TRUE,$Q$66:$Y$66),2,FALSE))</f>
        <v>37.5</v>
      </c>
      <c r="F13" s="12" t="str">
        <f>IF(ISBLANK(B13), "", VLOOKUP($B13, _xlfn.IFS($A13="Solid fuels", $Q$9:$X$28,$A13="Liquid fuels", $Q$29:$X$39,$A13="Light duty vehicles",$Q$49:$Y$50,$A13="Heavy duty vehicles",$Q$51:$Y$58,$A13="Aviation",$Q$59:$Y$61,$A13="Vessel",$Q$63:$Y$65,TRUE,$Q$66:$Y$66),3,FALSE))</f>
        <v>GJ/kL</v>
      </c>
      <c r="G13" s="12">
        <f>IF(ISBLANK(C13), "", VLOOKUP($B13, _xlfn.IFS($A13="Solid fuels", $Q$9:$X$28,$A13="Liquid fuels", $Q$29:$X$39,$A13="Light duty vehicles",$Q$49:$Y$50,$A13="Heavy duty vehicles",$Q$51:$Y$58,$A13="Aviation",$Q$59:$Y$61,$A13="Vessel",$Q$63:$Y$65,TRUE,$Q$66:$Y$66),4,FALSE))</f>
        <v>68.900000000000006</v>
      </c>
      <c r="H13" s="12">
        <f>IF(ISBLANK(E13), "", VLOOKUP($B13, _xlfn.IFS($A13="Solid fuels", $Q$9:$X$28,$A13="Liquid fuels", $Q$29:$X$39,$A13="Light duty vehicles",$Q$49:$Y$50,$A13="Heavy duty vehicles",$Q$51:$Y$58,$A13="Aviation",$Q$59:$Y$61,$A13="Vessel",$Q$63:$Y$65,TRUE,$Q$66:$Y$66),5,FALSE))</f>
        <v>0.01</v>
      </c>
      <c r="I13" s="12">
        <f>IF(ISBLANK(F13), "", VLOOKUP($B13, _xlfn.IFS($A13="Solid fuels", $Q$9:$X$28,$A13="Liquid fuels", $Q$29:$X$39,$A13="Light duty vehicles",$Q$49:$Y$50,$A13="Heavy duty vehicles",$Q$51:$Y$58,$A13="Aviation",$Q$59:$Y$61,$A13="Vessel",$Q$63:$Y$65,TRUE,$Q$66:$Y$66),6,FALSE))</f>
        <v>0.2</v>
      </c>
      <c r="J13" s="12">
        <f>IF(ISBLANK(G13), "", VLOOKUP($B13, _xlfn.IFS($A13="Solid fuels", $Q$9:$X$28,$A13="Liquid fuels", $Q$29:$X$39,$A13="Light duty vehicles",$Q$49:$Y$50,$A13="Heavy duty vehicles",$Q$51:$Y$58,$A13="Aviation",$Q$59:$Y$61,$A13="Vessel",$Q$63:$Y$65,TRUE,$Q$66:$Y$66),8,FALSE))</f>
        <v>18</v>
      </c>
      <c r="K13" s="12">
        <f>C13*E13*G13/1000</f>
        <v>36.172499999999999</v>
      </c>
      <c r="L13" s="12">
        <f>C13*E13*H13/1000</f>
        <v>5.2500000000000003E-3</v>
      </c>
      <c r="M13" s="12">
        <f>C13*E13*I13/1000</f>
        <v>0.105</v>
      </c>
      <c r="N13" s="12">
        <f>C13*E13*J13/1000</f>
        <v>9.4499999999999993</v>
      </c>
      <c r="O13" s="12"/>
      <c r="Q13" t="s">
        <v>24</v>
      </c>
      <c r="R13">
        <v>30</v>
      </c>
      <c r="S13" t="s">
        <v>56</v>
      </c>
      <c r="T13">
        <v>91.8</v>
      </c>
      <c r="U13">
        <v>0.03</v>
      </c>
      <c r="V13">
        <v>0.2</v>
      </c>
      <c r="W13">
        <v>92.03</v>
      </c>
      <c r="X13">
        <v>6.4</v>
      </c>
    </row>
    <row r="14" spans="1:24">
      <c r="A14" t="s">
        <v>45</v>
      </c>
      <c r="B14" t="s">
        <v>53</v>
      </c>
      <c r="C14">
        <v>15</v>
      </c>
      <c r="D14" s="12" t="s">
        <v>58</v>
      </c>
      <c r="E14" s="12">
        <f>IF(ISBLANK(A14), "", VLOOKUP($B14, _xlfn.IFS($A14="Solid fuels", $Q$9:$X$28,$A14="Liquid fuels", $Q$29:$X$39,$A14="Light duty vehicles",$Q$49:$Y$50,$A14="Heavy duty vehicles",$Q$51:$Y$58,$A14="Aviation",$Q$59:$Y$61,$A14="Vessel",$Q$63:$Y$65,TRUE,$Q$66:$Y$66),2,FALSE))</f>
        <v>36.799999999999997</v>
      </c>
      <c r="F14" s="12" t="str">
        <f>IF(ISBLANK(B14), "", VLOOKUP($B14, _xlfn.IFS($A14="Solid fuels", $Q$9:$X$28,$A14="Liquid fuels", $Q$29:$X$39,$A14="Light duty vehicles",$Q$49:$Y$50,$A14="Heavy duty vehicles",$Q$51:$Y$58,$A14="Aviation",$Q$59:$Y$61,$A14="Vessel",$Q$63:$Y$65,TRUE,$Q$66:$Y$66),3,FALSE))</f>
        <v>GJ/kL</v>
      </c>
      <c r="G14" s="12">
        <f>IF(ISBLANK(C14), "", VLOOKUP($B14, _xlfn.IFS($A14="Solid fuels", $Q$9:$X$28,$A14="Liquid fuels", $Q$29:$X$39,$A14="Light duty vehicles",$Q$49:$Y$50,$A14="Heavy duty vehicles",$Q$51:$Y$58,$A14="Aviation",$Q$59:$Y$61,$A14="Vessel",$Q$63:$Y$65,TRUE,$Q$66:$Y$66),4,FALSE))</f>
        <v>69.599999999999994</v>
      </c>
      <c r="H14" s="12">
        <f>IF(ISBLANK(E14), "", VLOOKUP($B14, _xlfn.IFS($A14="Solid fuels", $Q$9:$X$28,$A14="Liquid fuels", $Q$29:$X$39,$A14="Light duty vehicles",$Q$49:$Y$50,$A14="Heavy duty vehicles",$Q$51:$Y$58,$A14="Aviation",$Q$59:$Y$61,$A14="Vessel",$Q$63:$Y$65,TRUE,$Q$66:$Y$66),5,FALSE))</f>
        <v>0.02</v>
      </c>
      <c r="I14" s="12">
        <f>IF(ISBLANK(F14), "", VLOOKUP($B14, _xlfn.IFS($A14="Solid fuels", $Q$9:$X$28,$A14="Liquid fuels", $Q$29:$X$39,$A14="Light duty vehicles",$Q$49:$Y$50,$A14="Heavy duty vehicles",$Q$51:$Y$58,$A14="Aviation",$Q$59:$Y$61,$A14="Vessel",$Q$63:$Y$65,TRUE,$Q$66:$Y$66),6,FALSE))</f>
        <v>0.2</v>
      </c>
      <c r="J14" s="12">
        <f>IF(ISBLANK(G14), "", VLOOKUP($B14, _xlfn.IFS($A14="Solid fuels", $Q$9:$X$28,$A14="Liquid fuels", $Q$29:$X$39,$A14="Light duty vehicles",$Q$49:$Y$50,$A14="Heavy duty vehicles",$Q$51:$Y$58,$A14="Aviation",$Q$59:$Y$61,$A14="Vessel",$Q$63:$Y$65,TRUE,$Q$66:$Y$66),8,FALSE))</f>
        <v>18</v>
      </c>
      <c r="K14" s="12">
        <f>C14*E14*G14/1000</f>
        <v>38.419199999999996</v>
      </c>
      <c r="L14" s="12">
        <f>C14*E14*H14/1000</f>
        <v>1.1040000000000001E-2</v>
      </c>
      <c r="M14" s="12">
        <f>C14*E14*I14/1000</f>
        <v>0.11040000000000001</v>
      </c>
      <c r="N14" s="12">
        <f>C14*E14*J14/1000</f>
        <v>9.9359999999999999</v>
      </c>
      <c r="O14" s="12"/>
      <c r="Q14" t="s">
        <v>25</v>
      </c>
      <c r="R14">
        <v>22.1</v>
      </c>
      <c r="S14" t="s">
        <v>56</v>
      </c>
      <c r="T14">
        <v>95</v>
      </c>
      <c r="U14">
        <v>0.08</v>
      </c>
      <c r="V14">
        <v>0.3</v>
      </c>
      <c r="W14">
        <v>95.38</v>
      </c>
      <c r="X14" t="s">
        <v>79</v>
      </c>
    </row>
    <row r="15" spans="1:24">
      <c r="A15" t="s">
        <v>45</v>
      </c>
      <c r="B15" t="s">
        <v>54</v>
      </c>
      <c r="C15">
        <v>16</v>
      </c>
      <c r="D15" s="12" t="s">
        <v>58</v>
      </c>
      <c r="E15" s="12">
        <f>IF(ISBLANK(A15), "", VLOOKUP($B15, _xlfn.IFS($A15="Solid fuels", $Q$9:$X$28,$A15="Liquid fuels", $Q$29:$X$39,$A15="Light duty vehicles",$Q$49:$Y$50,$A15="Heavy duty vehicles",$Q$51:$Y$58,$A15="Aviation",$Q$59:$Y$61,$A15="Vessel",$Q$63:$Y$65,TRUE,$Q$66:$Y$66),2,FALSE))</f>
        <v>37.299999999999997</v>
      </c>
      <c r="F15" s="12" t="str">
        <f>IF(ISBLANK(B15), "", VLOOKUP($B15, _xlfn.IFS($A15="Solid fuels", $Q$9:$X$28,$A15="Liquid fuels", $Q$29:$X$39,$A15="Light duty vehicles",$Q$49:$Y$50,$A15="Heavy duty vehicles",$Q$51:$Y$58,$A15="Aviation",$Q$59:$Y$61,$A15="Vessel",$Q$63:$Y$65,TRUE,$Q$66:$Y$66),3,FALSE))</f>
        <v>GJ/kL</v>
      </c>
      <c r="G15" s="12">
        <f>IF(ISBLANK(C15), "", VLOOKUP($B15, _xlfn.IFS($A15="Solid fuels", $Q$9:$X$28,$A15="Liquid fuels", $Q$29:$X$39,$A15="Light duty vehicles",$Q$49:$Y$50,$A15="Heavy duty vehicles",$Q$51:$Y$58,$A15="Aviation",$Q$59:$Y$61,$A15="Vessel",$Q$63:$Y$65,TRUE,$Q$66:$Y$66),4,FALSE))</f>
        <v>69.5</v>
      </c>
      <c r="H15" s="12">
        <f>IF(ISBLANK(E15), "", VLOOKUP($B15, _xlfn.IFS($A15="Solid fuels", $Q$9:$X$28,$A15="Liquid fuels", $Q$29:$X$39,$A15="Light duty vehicles",$Q$49:$Y$50,$A15="Heavy duty vehicles",$Q$51:$Y$58,$A15="Aviation",$Q$59:$Y$61,$A15="Vessel",$Q$63:$Y$65,TRUE,$Q$66:$Y$66),5,FALSE))</f>
        <v>0.03</v>
      </c>
      <c r="I15" s="12">
        <f>IF(ISBLANK(F15), "", VLOOKUP($B15, _xlfn.IFS($A15="Solid fuels", $Q$9:$X$28,$A15="Liquid fuels", $Q$29:$X$39,$A15="Light duty vehicles",$Q$49:$Y$50,$A15="Heavy duty vehicles",$Q$51:$Y$58,$A15="Aviation",$Q$59:$Y$61,$A15="Vessel",$Q$63:$Y$65,TRUE,$Q$66:$Y$66),6,FALSE))</f>
        <v>0.2</v>
      </c>
      <c r="J15" s="12">
        <f>IF(ISBLANK(G15), "", VLOOKUP($B15, _xlfn.IFS($A15="Solid fuels", $Q$9:$X$28,$A15="Liquid fuels", $Q$29:$X$39,$A15="Light duty vehicles",$Q$49:$Y$50,$A15="Heavy duty vehicles",$Q$51:$Y$58,$A15="Aviation",$Q$59:$Y$61,$A15="Vessel",$Q$63:$Y$65,TRUE,$Q$66:$Y$66),8,FALSE))</f>
        <v>18</v>
      </c>
      <c r="K15" s="12">
        <f>C15*E15*G15/1000</f>
        <v>41.477599999999995</v>
      </c>
      <c r="L15" s="12">
        <f>C15*E15*H15/1000</f>
        <v>1.7903999999999996E-2</v>
      </c>
      <c r="M15" s="12">
        <f>C15*E15*I15/1000</f>
        <v>0.11935999999999999</v>
      </c>
      <c r="N15" s="12">
        <f>C15*E15*J15/1000</f>
        <v>10.7424</v>
      </c>
      <c r="O15" s="12"/>
      <c r="Q15" t="s">
        <v>26</v>
      </c>
      <c r="R15">
        <v>27</v>
      </c>
      <c r="S15" t="s">
        <v>56</v>
      </c>
      <c r="T15">
        <v>107</v>
      </c>
      <c r="U15">
        <v>0.03</v>
      </c>
      <c r="V15">
        <v>0.2</v>
      </c>
      <c r="W15">
        <v>107.23</v>
      </c>
      <c r="X15" t="s">
        <v>79</v>
      </c>
    </row>
    <row r="16" spans="1:24">
      <c r="A16" t="s">
        <v>45</v>
      </c>
      <c r="B16" t="s">
        <v>12</v>
      </c>
      <c r="C16">
        <v>17</v>
      </c>
      <c r="D16" s="12" t="s">
        <v>58</v>
      </c>
      <c r="E16" s="12">
        <f>IF(ISBLANK(A16), "", VLOOKUP($B16, _xlfn.IFS($A16="Solid fuels", $Q$9:$X$28,$A16="Liquid fuels", $Q$29:$X$39,$A16="Light duty vehicles",$Q$49:$Y$50,$A16="Heavy duty vehicles",$Q$51:$Y$58,$A16="Aviation",$Q$59:$Y$61,$A16="Vessel",$Q$63:$Y$65,TRUE,$Q$66:$Y$66),2,FALSE))</f>
        <v>38.6</v>
      </c>
      <c r="F16" s="12" t="str">
        <f>IF(ISBLANK(B16), "", VLOOKUP($B16, _xlfn.IFS($A16="Solid fuels", $Q$9:$X$28,$A16="Liquid fuels", $Q$29:$X$39,$A16="Light duty vehicles",$Q$49:$Y$50,$A16="Heavy duty vehicles",$Q$51:$Y$58,$A16="Aviation",$Q$59:$Y$61,$A16="Vessel",$Q$63:$Y$65,TRUE,$Q$66:$Y$66),3,FALSE))</f>
        <v>GJ/kL</v>
      </c>
      <c r="G16" s="12">
        <f>IF(ISBLANK(C16), "", VLOOKUP($B16, _xlfn.IFS($A16="Solid fuels", $Q$9:$X$28,$A16="Liquid fuels", $Q$29:$X$39,$A16="Light duty vehicles",$Q$49:$Y$50,$A16="Heavy duty vehicles",$Q$51:$Y$58,$A16="Aviation",$Q$59:$Y$61,$A16="Vessel",$Q$63:$Y$65,TRUE,$Q$66:$Y$66),4,FALSE))</f>
        <v>69.900000000000006</v>
      </c>
      <c r="H16" s="12">
        <f>IF(ISBLANK(E16), "", VLOOKUP($B16, _xlfn.IFS($A16="Solid fuels", $Q$9:$X$28,$A16="Liquid fuels", $Q$29:$X$39,$A16="Light duty vehicles",$Q$49:$Y$50,$A16="Heavy duty vehicles",$Q$51:$Y$58,$A16="Aviation",$Q$59:$Y$61,$A16="Vessel",$Q$63:$Y$65,TRUE,$Q$66:$Y$66),5,FALSE))</f>
        <v>0.1</v>
      </c>
      <c r="I16" s="12">
        <f>IF(ISBLANK(F16), "", VLOOKUP($B16, _xlfn.IFS($A16="Solid fuels", $Q$9:$X$28,$A16="Liquid fuels", $Q$29:$X$39,$A16="Light duty vehicles",$Q$49:$Y$50,$A16="Heavy duty vehicles",$Q$51:$Y$58,$A16="Aviation",$Q$59:$Y$61,$A16="Vessel",$Q$63:$Y$65,TRUE,$Q$66:$Y$66),6,FALSE))</f>
        <v>0.2</v>
      </c>
      <c r="J16" s="12">
        <f>IF(ISBLANK(G16), "", VLOOKUP($B16, _xlfn.IFS($A16="Solid fuels", $Q$9:$X$28,$A16="Liquid fuels", $Q$29:$X$39,$A16="Light duty vehicles",$Q$49:$Y$50,$A16="Heavy duty vehicles",$Q$51:$Y$58,$A16="Aviation",$Q$59:$Y$61,$A16="Vessel",$Q$63:$Y$65,TRUE,$Q$66:$Y$66),8,FALSE))</f>
        <v>17.3</v>
      </c>
      <c r="K16" s="12">
        <f>C16*E16*G16/1000</f>
        <v>45.868380000000002</v>
      </c>
      <c r="L16" s="12">
        <f>C16*E16*H16/1000</f>
        <v>6.5619999999999998E-2</v>
      </c>
      <c r="M16" s="12">
        <f>C16*E16*I16/1000</f>
        <v>0.13124</v>
      </c>
      <c r="N16" s="12">
        <f>C16*E16*J16/1000</f>
        <v>11.352260000000003</v>
      </c>
      <c r="O16" s="12"/>
      <c r="Q16" t="s">
        <v>27</v>
      </c>
      <c r="R16">
        <v>37.5</v>
      </c>
      <c r="S16" t="s">
        <v>56</v>
      </c>
      <c r="T16">
        <v>81.8</v>
      </c>
      <c r="U16">
        <v>0.03</v>
      </c>
      <c r="V16">
        <v>0.2</v>
      </c>
      <c r="W16">
        <v>82.03</v>
      </c>
      <c r="X16" t="s">
        <v>79</v>
      </c>
    </row>
    <row r="17" spans="1:24">
      <c r="A17" t="s">
        <v>45</v>
      </c>
      <c r="B17" t="s">
        <v>13</v>
      </c>
      <c r="C17">
        <v>18</v>
      </c>
      <c r="D17" s="12" t="s">
        <v>58</v>
      </c>
      <c r="E17" s="12">
        <f>IF(ISBLANK(A17), "", VLOOKUP($B17, _xlfn.IFS($A17="Solid fuels", $Q$9:$X$28,$A17="Liquid fuels", $Q$29:$X$52,$A17="Light duty vehicles",$Q$49:$Y$50,$A17="Heavy duty vehicles",$Q$51:$Y$58,$A17="Aviation",$Q$59:$Y$61,$A17="Vessel",$Q$63:$Y$65,TRUE,$Q$66:$Y$66),2,FALSE))</f>
        <v>39.700000000000003</v>
      </c>
      <c r="F17" s="12" t="str">
        <f>IF(ISBLANK(B17), "", VLOOKUP($B17, _xlfn.IFS($A17="Solid fuels", $Q$9:$X$28,$A17="Liquid fuels", $Q$29:$X$52,$A17="Light duty vehicles",$Q$49:$Y$50,$A17="Heavy duty vehicles",$Q$51:$Y$58,$A17="Aviation",$Q$59:$Y$61,$A17="Vessel",$Q$63:$Y$65,TRUE,$Q$66:$Y$66),3,FALSE))</f>
        <v>GJ/kL</v>
      </c>
      <c r="G17" s="12">
        <f>IF(ISBLANK(C17), "", VLOOKUP($B17, _xlfn.IFS($A17="Solid fuels", $Q$9:$X$28,$A17="Liquid fuels", $Q$29:$X$52,$A17="Light duty vehicles",$Q$49:$Y$50,$A17="Heavy duty vehicles",$Q$51:$Y$58,$A17="Aviation",$Q$59:$Y$61,$A17="Vessel",$Q$63:$Y$65,TRUE,$Q$66:$Y$66),4,FALSE))</f>
        <v>73.599999999999994</v>
      </c>
      <c r="H17" s="12">
        <f>IF(ISBLANK(E17), "", VLOOKUP($B17, _xlfn.IFS($A17="Solid fuels", $Q$9:$X$28,$A17="Liquid fuels", $Q$29:$X$52,$A17="Light duty vehicles",$Q$49:$Y$50,$A17="Heavy duty vehicles",$Q$51:$Y$58,$A17="Aviation",$Q$59:$Y$61,$A17="Vessel",$Q$63:$Y$65,TRUE,$Q$66:$Y$66),5,FALSE))</f>
        <v>0.04</v>
      </c>
      <c r="I17" s="12">
        <f>IF(ISBLANK(F17), "", VLOOKUP($B17, _xlfn.IFS($A17="Solid fuels", $Q$9:$X$28,$A17="Liquid fuels", $Q$29:$X$52,$A17="Light duty vehicles",$Q$49:$Y$50,$A17="Heavy duty vehicles",$Q$51:$Y$58,$A17="Aviation",$Q$59:$Y$61,$A17="Vessel",$Q$63:$Y$65,TRUE,$Q$66:$Y$66),6,FALSE))</f>
        <v>0.2</v>
      </c>
      <c r="J17" s="12">
        <f>IF(ISBLANK(G17), "", VLOOKUP($B17, _xlfn.IFS($A17="Solid fuels", $Q$9:$X$28,$A17="Liquid fuels", $Q$29:$X$52,$A17="Light duty vehicles",$Q$49:$Y$50,$A17="Heavy duty vehicles",$Q$51:$Y$58,$A17="Aviation",$Q$59:$Y$61,$A17="Vessel",$Q$63:$Y$65,TRUE,$Q$66:$Y$66),8,FALSE))</f>
        <v>18</v>
      </c>
      <c r="K17" s="12">
        <f>C17*E17*G17/1000</f>
        <v>52.594559999999994</v>
      </c>
      <c r="L17" s="12">
        <f>C17*E17*H17/1000</f>
        <v>2.8584000000000002E-2</v>
      </c>
      <c r="M17" s="12">
        <f>C17*E17*I17/1000</f>
        <v>0.14292000000000002</v>
      </c>
      <c r="N17" s="12">
        <f>C17*E17*J17/1000</f>
        <v>12.862800000000002</v>
      </c>
      <c r="O17" s="12"/>
      <c r="Q17" t="s">
        <v>28</v>
      </c>
      <c r="R17">
        <v>22.1</v>
      </c>
      <c r="S17" t="s">
        <v>56</v>
      </c>
      <c r="T17">
        <v>95</v>
      </c>
      <c r="U17">
        <v>0.08</v>
      </c>
      <c r="V17">
        <v>0.2</v>
      </c>
      <c r="W17">
        <v>95.28</v>
      </c>
      <c r="X17" t="s">
        <v>79</v>
      </c>
    </row>
    <row r="18" spans="1:24">
      <c r="A18" t="s">
        <v>45</v>
      </c>
      <c r="B18" t="s">
        <v>80</v>
      </c>
      <c r="C18">
        <v>17</v>
      </c>
      <c r="D18" s="12" t="s">
        <v>58</v>
      </c>
      <c r="E18" s="12">
        <f>IF(ISBLANK(A18), "", VLOOKUP($B18, _xlfn.IFS($A18="Solid fuels", $Q$9:$X$28,$A18="Liquid fuels", $Q$29:$X$52,$A18="Light duty vehicles",$Q$49:$Y$50,$A18="Heavy duty vehicles",$Q$51:$Y$58,$A18="Aviation",$Q$59:$Y$61,$A18="Vessel",$Q$63:$Y$65,TRUE,$Q$66:$Y$66),2,FALSE))</f>
        <v>34.4</v>
      </c>
      <c r="F18" s="12" t="str">
        <f>IF(ISBLANK(B18), "", VLOOKUP($B18, _xlfn.IFS($A18="Solid fuels", $Q$9:$X$28,$A18="Liquid fuels", $Q$29:$X$52,$A18="Light duty vehicles",$Q$49:$Y$50,$A18="Heavy duty vehicles",$Q$51:$Y$58,$A18="Aviation",$Q$59:$Y$61,$A18="Vessel",$Q$63:$Y$65,TRUE,$Q$66:$Y$66),3,FALSE))</f>
        <v>GJ/kL</v>
      </c>
      <c r="G18" s="12">
        <f>IF(ISBLANK(C18), "", VLOOKUP($B18, _xlfn.IFS($A18="Solid fuels", $Q$9:$X$28,$A18="Liquid fuels", $Q$29:$X$52,$A18="Light duty vehicles",$Q$49:$Y$50,$A18="Heavy duty vehicles",$Q$51:$Y$58,$A18="Aviation",$Q$59:$Y$61,$A18="Vessel",$Q$63:$Y$65,TRUE,$Q$66:$Y$66),4,FALSE))</f>
        <v>69.7</v>
      </c>
      <c r="H18" s="12">
        <f>IF(ISBLANK(E18), "", VLOOKUP($B18, _xlfn.IFS($A18="Solid fuels", $Q$9:$X$28,$A18="Liquid fuels", $Q$29:$X$52,$A18="Light duty vehicles",$Q$49:$Y$50,$A18="Heavy duty vehicles",$Q$51:$Y$58,$A18="Aviation",$Q$59:$Y$61,$A18="Vessel",$Q$63:$Y$65,TRUE,$Q$66:$Y$66),5,FALSE))</f>
        <v>0.03</v>
      </c>
      <c r="I18" s="12">
        <f>IF(ISBLANK(F18), "", VLOOKUP($B18, _xlfn.IFS($A18="Solid fuels", $Q$9:$X$28,$A18="Liquid fuels", $Q$29:$X$52,$A18="Light duty vehicles",$Q$49:$Y$50,$A18="Heavy duty vehicles",$Q$51:$Y$58,$A18="Aviation",$Q$59:$Y$61,$A18="Vessel",$Q$63:$Y$65,TRUE,$Q$66:$Y$66),6,FALSE))</f>
        <v>0.2</v>
      </c>
      <c r="J18" s="12">
        <f>IF(ISBLANK(G18), "", VLOOKUP($B18, _xlfn.IFS($A18="Solid fuels", $Q$9:$X$28,$A18="Liquid fuels", $Q$29:$X$52,$A18="Light duty vehicles",$Q$49:$Y$50,$A18="Heavy duty vehicles",$Q$51:$Y$58,$A18="Aviation",$Q$59:$Y$61,$A18="Vessel",$Q$63:$Y$65,TRUE,$Q$66:$Y$66),8,FALSE))</f>
        <v>18</v>
      </c>
      <c r="K18" s="12">
        <f>C18*E18*G18/1000</f>
        <v>40.760559999999998</v>
      </c>
      <c r="L18" s="12">
        <f>C18*E18*H18/1000</f>
        <v>1.7543999999999997E-2</v>
      </c>
      <c r="M18" s="12">
        <f>C18*E18*I18/1000</f>
        <v>0.11695999999999999</v>
      </c>
      <c r="N18" s="12">
        <f>C18*E18*J18/1000</f>
        <v>10.526399999999999</v>
      </c>
      <c r="O18" s="12"/>
      <c r="Q18" t="s">
        <v>29</v>
      </c>
      <c r="R18">
        <v>26.3</v>
      </c>
      <c r="S18" t="s">
        <v>56</v>
      </c>
      <c r="T18">
        <v>81.599999999999994</v>
      </c>
      <c r="U18">
        <v>0.03</v>
      </c>
      <c r="V18">
        <v>0.2</v>
      </c>
      <c r="W18">
        <v>81.83</v>
      </c>
      <c r="X18" t="s">
        <v>79</v>
      </c>
    </row>
    <row r="19" spans="1:24">
      <c r="A19" t="s">
        <v>45</v>
      </c>
      <c r="B19" t="s">
        <v>81</v>
      </c>
      <c r="C19">
        <v>16</v>
      </c>
      <c r="D19" s="12" t="s">
        <v>58</v>
      </c>
      <c r="E19" s="12">
        <f>IF(ISBLANK(A19), "", VLOOKUP($B19, _xlfn.IFS($A19="Solid fuels", $Q$9:$X$28,$A19="Liquid fuels", $Q$29:$X$52,$A19="Light duty vehicles",$Q$49:$Y$50,$A19="Heavy duty vehicles",$Q$51:$Y$58,$A19="Aviation",$Q$59:$Y$61,$A19="Vessel",$Q$63:$Y$65,TRUE,$Q$66:$Y$66),2,FALSE))</f>
        <v>34.4</v>
      </c>
      <c r="F19" s="12" t="str">
        <f>IF(ISBLANK(B19), "", VLOOKUP($B19, _xlfn.IFS($A19="Solid fuels", $Q$9:$X$28,$A19="Liquid fuels", $Q$29:$X$52,$A19="Light duty vehicles",$Q$49:$Y$50,$A19="Heavy duty vehicles",$Q$51:$Y$58,$A19="Aviation",$Q$59:$Y$61,$A19="Vessel",$Q$63:$Y$65,TRUE,$Q$66:$Y$66),3,FALSE))</f>
        <v>GJ/kL</v>
      </c>
      <c r="G19" s="12">
        <f>IF(ISBLANK(C19), "", VLOOKUP($B19, _xlfn.IFS($A19="Solid fuels", $Q$9:$X$28,$A19="Liquid fuels", $Q$29:$X$52,$A19="Light duty vehicles",$Q$49:$Y$50,$A19="Heavy duty vehicles",$Q$51:$Y$58,$A19="Aviation",$Q$59:$Y$61,$A19="Vessel",$Q$63:$Y$65,TRUE,$Q$66:$Y$66),4,FALSE))</f>
        <v>69.7</v>
      </c>
      <c r="H19" s="12">
        <f>IF(ISBLANK(E19), "", VLOOKUP($B19, _xlfn.IFS($A19="Solid fuels", $Q$9:$X$28,$A19="Liquid fuels", $Q$29:$X$52,$A19="Light duty vehicles",$Q$49:$Y$50,$A19="Heavy duty vehicles",$Q$51:$Y$58,$A19="Aviation",$Q$59:$Y$61,$A19="Vessel",$Q$63:$Y$65,TRUE,$Q$66:$Y$66),5,FALSE))</f>
        <v>0.03</v>
      </c>
      <c r="I19" s="12">
        <f>IF(ISBLANK(F19), "", VLOOKUP($B19, _xlfn.IFS($A19="Solid fuels", $Q$9:$X$28,$A19="Liquid fuels", $Q$29:$X$52,$A19="Light duty vehicles",$Q$49:$Y$50,$A19="Heavy duty vehicles",$Q$51:$Y$58,$A19="Aviation",$Q$59:$Y$61,$A19="Vessel",$Q$63:$Y$65,TRUE,$Q$66:$Y$66),6,FALSE))</f>
        <v>0.2</v>
      </c>
      <c r="J19" s="12">
        <f>IF(ISBLANK(G19), "", VLOOKUP($B19, _xlfn.IFS($A19="Solid fuels", $Q$9:$X$28,$A19="Liquid fuels", $Q$29:$X$52,$A19="Light duty vehicles",$Q$49:$Y$50,$A19="Heavy duty vehicles",$Q$51:$Y$58,$A19="Aviation",$Q$59:$Y$61,$A19="Vessel",$Q$63:$Y$65,TRUE,$Q$66:$Y$66),8,FALSE))</f>
        <v>18</v>
      </c>
      <c r="K19" s="12">
        <f>C19*E19*G19/1000</f>
        <v>38.362879999999997</v>
      </c>
      <c r="L19" s="12">
        <f>C19*E19*H19/1000</f>
        <v>1.6511999999999999E-2</v>
      </c>
      <c r="M19" s="12">
        <f>C19*E19*I19/1000</f>
        <v>0.11008</v>
      </c>
      <c r="N19" s="12">
        <f>C19*E19*J19/1000</f>
        <v>9.9071999999999996</v>
      </c>
      <c r="O19" s="12"/>
      <c r="Q19" t="s">
        <v>30</v>
      </c>
      <c r="R19">
        <v>32</v>
      </c>
      <c r="S19" t="s">
        <v>56</v>
      </c>
      <c r="T19">
        <v>62.8</v>
      </c>
      <c r="U19">
        <v>0.03</v>
      </c>
      <c r="V19">
        <v>0.2</v>
      </c>
      <c r="W19">
        <v>63.03</v>
      </c>
      <c r="X19" t="s">
        <v>79</v>
      </c>
    </row>
    <row r="20" spans="1:24">
      <c r="A20" t="s">
        <v>45</v>
      </c>
      <c r="B20" t="s">
        <v>82</v>
      </c>
      <c r="C20">
        <v>15</v>
      </c>
      <c r="D20" s="12" t="s">
        <v>58</v>
      </c>
      <c r="E20" s="12">
        <f>IF(ISBLANK(A20), "", VLOOKUP($B20, _xlfn.IFS($A20="Solid fuels", $Q$9:$X$28,$A20="Liquid fuels", $Q$29:$X$52,$A20="Light duty vehicles",$Q$49:$Y$50,$A20="Heavy duty vehicles",$Q$51:$Y$58,$A20="Aviation",$Q$59:$Y$61,$A20="Vessel",$Q$63:$Y$65,TRUE,$Q$66:$Y$66),2,FALSE))</f>
        <v>25.7</v>
      </c>
      <c r="F20" s="12" t="str">
        <f>IF(ISBLANK(B20), "", VLOOKUP($B20, _xlfn.IFS($A20="Solid fuels", $Q$9:$X$28,$A20="Liquid fuels", $Q$29:$X$52,$A20="Light duty vehicles",$Q$49:$Y$50,$A20="Heavy duty vehicles",$Q$51:$Y$58,$A20="Aviation",$Q$59:$Y$61,$A20="Vessel",$Q$63:$Y$65,TRUE,$Q$66:$Y$66),3,FALSE))</f>
        <v>GJ/kL</v>
      </c>
      <c r="G20" s="12">
        <f>IF(ISBLANK(C20), "", VLOOKUP($B20, _xlfn.IFS($A20="Solid fuels", $Q$9:$X$28,$A20="Liquid fuels", $Q$29:$X$52,$A20="Light duty vehicles",$Q$49:$Y$50,$A20="Heavy duty vehicles",$Q$51:$Y$58,$A20="Aviation",$Q$59:$Y$61,$A20="Vessel",$Q$63:$Y$65,TRUE,$Q$66:$Y$66),4,FALSE))</f>
        <v>60.2</v>
      </c>
      <c r="H20" s="12">
        <f>IF(ISBLANK(E20), "", VLOOKUP($B20, _xlfn.IFS($A20="Solid fuels", $Q$9:$X$28,$A20="Liquid fuels", $Q$29:$X$52,$A20="Light duty vehicles",$Q$49:$Y$50,$A20="Heavy duty vehicles",$Q$51:$Y$58,$A20="Aviation",$Q$59:$Y$61,$A20="Vessel",$Q$63:$Y$65,TRUE,$Q$66:$Y$66),5,FALSE))</f>
        <v>0.2</v>
      </c>
      <c r="I20" s="12">
        <f>IF(ISBLANK(F20), "", VLOOKUP($B20, _xlfn.IFS($A20="Solid fuels", $Q$9:$X$28,$A20="Liquid fuels", $Q$29:$X$52,$A20="Light duty vehicles",$Q$49:$Y$50,$A20="Heavy duty vehicles",$Q$51:$Y$58,$A20="Aviation",$Q$59:$Y$61,$A20="Vessel",$Q$63:$Y$65,TRUE,$Q$66:$Y$66),6,FALSE))</f>
        <v>0.2</v>
      </c>
      <c r="J20" s="12">
        <f>IF(ISBLANK(G20), "", VLOOKUP($B20, _xlfn.IFS($A20="Solid fuels", $Q$9:$X$28,$A20="Liquid fuels", $Q$29:$X$52,$A20="Light duty vehicles",$Q$49:$Y$50,$A20="Heavy duty vehicles",$Q$51:$Y$58,$A20="Aviation",$Q$59:$Y$61,$A20="Vessel",$Q$63:$Y$65,TRUE,$Q$66:$Y$66),8,FALSE))</f>
        <v>20.2</v>
      </c>
      <c r="K20" s="12">
        <f>C20*E20*G20/1000</f>
        <v>23.207100000000001</v>
      </c>
      <c r="L20" s="12">
        <f>C20*E20*H20/1000</f>
        <v>7.7100000000000002E-2</v>
      </c>
      <c r="M20" s="12">
        <f>C20*E20*I20/1000</f>
        <v>7.7100000000000002E-2</v>
      </c>
      <c r="N20" s="12">
        <f>C20*E20*J20/1000</f>
        <v>7.7870999999999997</v>
      </c>
      <c r="O20" s="12"/>
      <c r="Q20" t="s">
        <v>31</v>
      </c>
      <c r="R20">
        <v>27.1</v>
      </c>
      <c r="S20" t="s">
        <v>56</v>
      </c>
      <c r="T20">
        <v>55.9</v>
      </c>
      <c r="U20">
        <v>0.03</v>
      </c>
      <c r="V20">
        <v>0.2</v>
      </c>
      <c r="W20">
        <v>56.13</v>
      </c>
      <c r="X20" t="s">
        <v>79</v>
      </c>
    </row>
    <row r="21" spans="1:24">
      <c r="A21" t="s">
        <v>45</v>
      </c>
      <c r="B21" t="s">
        <v>83</v>
      </c>
      <c r="C21">
        <v>14</v>
      </c>
      <c r="D21" s="12" t="s">
        <v>58</v>
      </c>
      <c r="E21" s="12">
        <f>IF(ISBLANK(A21), "", VLOOKUP($B21, _xlfn.IFS($A21="Solid fuels", $Q$9:$X$28,$A21="Liquid fuels", $Q$29:$X$52,$A21="Light duty vehicles",$Q$49:$Y$50,$A21="Heavy duty vehicles",$Q$51:$Y$58,$A21="Aviation",$Q$59:$Y$61,$A21="Vessel",$Q$63:$Y$65,TRUE,$Q$66:$Y$66),2,FALSE))</f>
        <v>31.4</v>
      </c>
      <c r="F21" s="12" t="str">
        <f>IF(ISBLANK(B21), "", VLOOKUP($B21, _xlfn.IFS($A21="Solid fuels", $Q$9:$X$28,$A21="Liquid fuels", $Q$29:$X$52,$A21="Light duty vehicles",$Q$49:$Y$50,$A21="Heavy duty vehicles",$Q$51:$Y$58,$A21="Aviation",$Q$59:$Y$61,$A21="Vessel",$Q$63:$Y$65,TRUE,$Q$66:$Y$66),3,FALSE))</f>
        <v>GJ/kL</v>
      </c>
      <c r="G21" s="12">
        <f>IF(ISBLANK(C21), "", VLOOKUP($B21, _xlfn.IFS($A21="Solid fuels", $Q$9:$X$28,$A21="Liquid fuels", $Q$29:$X$52,$A21="Light duty vehicles",$Q$49:$Y$50,$A21="Heavy duty vehicles",$Q$51:$Y$58,$A21="Aviation",$Q$59:$Y$61,$A21="Vessel",$Q$63:$Y$65,TRUE,$Q$66:$Y$66),4,FALSE))</f>
        <v>69.8</v>
      </c>
      <c r="H21" s="12">
        <f>IF(ISBLANK(E21), "", VLOOKUP($B21, _xlfn.IFS($A21="Solid fuels", $Q$9:$X$28,$A21="Liquid fuels", $Q$29:$X$52,$A21="Light duty vehicles",$Q$49:$Y$50,$A21="Heavy duty vehicles",$Q$51:$Y$58,$A21="Aviation",$Q$59:$Y$61,$A21="Vessel",$Q$63:$Y$65,TRUE,$Q$66:$Y$66),5,FALSE))</f>
        <v>0.01</v>
      </c>
      <c r="I21" s="12">
        <f>IF(ISBLANK(F21), "", VLOOKUP($B21, _xlfn.IFS($A21="Solid fuels", $Q$9:$X$28,$A21="Liquid fuels", $Q$29:$X$52,$A21="Light duty vehicles",$Q$49:$Y$50,$A21="Heavy duty vehicles",$Q$51:$Y$58,$A21="Aviation",$Q$59:$Y$61,$A21="Vessel",$Q$63:$Y$65,TRUE,$Q$66:$Y$66),6,FALSE))</f>
        <v>0.01</v>
      </c>
      <c r="J21" s="12">
        <f>IF(ISBLANK(G21), "", VLOOKUP($B21, _xlfn.IFS($A21="Solid fuels", $Q$9:$X$28,$A21="Liquid fuels", $Q$29:$X$52,$A21="Light duty vehicles",$Q$49:$Y$50,$A21="Heavy duty vehicles",$Q$51:$Y$58,$A21="Aviation",$Q$59:$Y$61,$A21="Vessel",$Q$63:$Y$65,TRUE,$Q$66:$Y$66),8,FALSE))</f>
        <v>18</v>
      </c>
      <c r="K21" s="12">
        <f>C21*E21*G21/1000</f>
        <v>30.684079999999998</v>
      </c>
      <c r="L21" s="12">
        <f>C21*E21*H21/1000</f>
        <v>4.3959999999999997E-3</v>
      </c>
      <c r="M21" s="12">
        <f>C21*E21*I21/1000</f>
        <v>4.3959999999999997E-3</v>
      </c>
      <c r="N21" s="12">
        <f>C21*E21*J21/1000</f>
        <v>7.9127999999999989</v>
      </c>
      <c r="O21" s="12"/>
      <c r="Q21" t="s">
        <v>32</v>
      </c>
      <c r="R21">
        <v>10.5</v>
      </c>
      <c r="S21" t="s">
        <v>56</v>
      </c>
      <c r="T21">
        <v>87.1</v>
      </c>
      <c r="U21">
        <v>0.8</v>
      </c>
      <c r="V21">
        <v>1</v>
      </c>
      <c r="W21">
        <v>88.9</v>
      </c>
      <c r="X21" t="s">
        <v>79</v>
      </c>
    </row>
    <row r="22" spans="1:24">
      <c r="A22" t="s">
        <v>45</v>
      </c>
      <c r="B22" t="s">
        <v>84</v>
      </c>
      <c r="C22">
        <v>13</v>
      </c>
      <c r="D22" s="12" t="s">
        <v>58</v>
      </c>
      <c r="E22" s="12">
        <f>IF(ISBLANK(A22), "", VLOOKUP($B22, _xlfn.IFS($A22="Solid fuels", $Q$9:$X$28,$A22="Liquid fuels", $Q$29:$X$52,$A22="Light duty vehicles",$Q$49:$Y$50,$A22="Heavy duty vehicles",$Q$51:$Y$58,$A22="Aviation",$Q$59:$Y$61,$A22="Vessel",$Q$63:$Y$65,TRUE,$Q$66:$Y$66),2,FALSE))</f>
        <v>34.200000000000003</v>
      </c>
      <c r="F22" s="12" t="str">
        <f>IF(ISBLANK(B22), "", VLOOKUP($B22, _xlfn.IFS($A22="Solid fuels", $Q$9:$X$28,$A22="Liquid fuels", $Q$29:$X$52,$A22="Light duty vehicles",$Q$49:$Y$50,$A22="Heavy duty vehicles",$Q$51:$Y$58,$A22="Aviation",$Q$59:$Y$61,$A22="Vessel",$Q$63:$Y$65,TRUE,$Q$66:$Y$66),3,FALSE))</f>
        <v>GJ/t</v>
      </c>
      <c r="G22" s="12">
        <f>IF(ISBLANK(C22), "", VLOOKUP($B22, _xlfn.IFS($A22="Solid fuels", $Q$9:$X$28,$A22="Liquid fuels", $Q$29:$X$52,$A22="Light duty vehicles",$Q$49:$Y$50,$A22="Heavy duty vehicles",$Q$51:$Y$58,$A22="Aviation",$Q$59:$Y$61,$A22="Vessel",$Q$63:$Y$65,TRUE,$Q$66:$Y$66),4,FALSE))</f>
        <v>92.6</v>
      </c>
      <c r="H22" s="12">
        <f>IF(ISBLANK(E22), "", VLOOKUP($B22, _xlfn.IFS($A22="Solid fuels", $Q$9:$X$28,$A22="Liquid fuels", $Q$29:$X$52,$A22="Light duty vehicles",$Q$49:$Y$50,$A22="Heavy duty vehicles",$Q$51:$Y$58,$A22="Aviation",$Q$59:$Y$61,$A22="Vessel",$Q$63:$Y$65,TRUE,$Q$66:$Y$66),5,FALSE))</f>
        <v>0.08</v>
      </c>
      <c r="I22" s="12">
        <f>IF(ISBLANK(F22), "", VLOOKUP($B22, _xlfn.IFS($A22="Solid fuels", $Q$9:$X$28,$A22="Liquid fuels", $Q$29:$X$52,$A22="Light duty vehicles",$Q$49:$Y$50,$A22="Heavy duty vehicles",$Q$51:$Y$58,$A22="Aviation",$Q$59:$Y$61,$A22="Vessel",$Q$63:$Y$65,TRUE,$Q$66:$Y$66),6,FALSE))</f>
        <v>0.2</v>
      </c>
      <c r="J22" s="12">
        <f>IF(ISBLANK(G22), "", VLOOKUP($B22, _xlfn.IFS($A22="Solid fuels", $Q$9:$X$28,$A22="Liquid fuels", $Q$29:$X$52,$A22="Light duty vehicles",$Q$49:$Y$50,$A22="Heavy duty vehicles",$Q$51:$Y$58,$A22="Aviation",$Q$59:$Y$61,$A22="Vessel",$Q$63:$Y$65,TRUE,$Q$66:$Y$66),8,FALSE))</f>
        <v>18</v>
      </c>
      <c r="K22" s="12">
        <f>C22*E22*G22/1000</f>
        <v>41.169959999999996</v>
      </c>
      <c r="L22" s="12">
        <f>C22*E22*H22/1000</f>
        <v>3.5568000000000002E-2</v>
      </c>
      <c r="M22" s="12">
        <f>C22*E22*I22/1000</f>
        <v>8.8920000000000013E-2</v>
      </c>
      <c r="N22" s="12">
        <f>C22*E22*J22/1000</f>
        <v>8.0028000000000006</v>
      </c>
      <c r="O22" s="12"/>
      <c r="Q22" t="s">
        <v>33</v>
      </c>
      <c r="R22">
        <v>16.2</v>
      </c>
      <c r="S22" t="s">
        <v>56</v>
      </c>
      <c r="T22">
        <v>0</v>
      </c>
      <c r="U22">
        <v>0.1</v>
      </c>
      <c r="V22">
        <v>1.1000000000000001</v>
      </c>
      <c r="W22">
        <v>1.2</v>
      </c>
      <c r="X22" t="s">
        <v>79</v>
      </c>
    </row>
    <row r="23" spans="1:24">
      <c r="A23" t="s">
        <v>45</v>
      </c>
      <c r="B23" t="s">
        <v>85</v>
      </c>
      <c r="C23">
        <v>12</v>
      </c>
      <c r="D23" s="12" t="s">
        <v>58</v>
      </c>
      <c r="E23" s="12">
        <f>IF(ISBLANK(A23), "", VLOOKUP($B23, _xlfn.IFS($A23="Solid fuels", $Q$9:$X$28,$A23="Liquid fuels", $Q$29:$X$52,$A23="Light duty vehicles",$Q$49:$Y$50,$A23="Heavy duty vehicles",$Q$51:$Y$58,$A23="Aviation",$Q$59:$Y$61,$A23="Vessel",$Q$63:$Y$65,TRUE,$Q$66:$Y$66),2,FALSE))</f>
        <v>42.9</v>
      </c>
      <c r="F23" s="12" t="str">
        <f>IF(ISBLANK(B23), "", VLOOKUP($B23, _xlfn.IFS($A23="Solid fuels", $Q$9:$X$28,$A23="Liquid fuels", $Q$29:$X$52,$A23="Light duty vehicles",$Q$49:$Y$50,$A23="Heavy duty vehicles",$Q$51:$Y$58,$A23="Aviation",$Q$59:$Y$61,$A23="Vessel",$Q$63:$Y$65,TRUE,$Q$66:$Y$66),3,FALSE))</f>
        <v>GJ/t</v>
      </c>
      <c r="G23" s="12">
        <f>IF(ISBLANK(C23), "", VLOOKUP($B23, _xlfn.IFS($A23="Solid fuels", $Q$9:$X$28,$A23="Liquid fuels", $Q$29:$X$52,$A23="Light duty vehicles",$Q$49:$Y$50,$A23="Heavy duty vehicles",$Q$51:$Y$58,$A23="Aviation",$Q$59:$Y$61,$A23="Vessel",$Q$63:$Y$65,TRUE,$Q$66:$Y$66),4,FALSE))</f>
        <v>54.7</v>
      </c>
      <c r="H23" s="12">
        <f>IF(ISBLANK(E23), "", VLOOKUP($B23, _xlfn.IFS($A23="Solid fuels", $Q$9:$X$28,$A23="Liquid fuels", $Q$29:$X$52,$A23="Light duty vehicles",$Q$49:$Y$50,$A23="Heavy duty vehicles",$Q$51:$Y$58,$A23="Aviation",$Q$59:$Y$61,$A23="Vessel",$Q$63:$Y$65,TRUE,$Q$66:$Y$66),5,FALSE))</f>
        <v>0.03</v>
      </c>
      <c r="I23" s="12">
        <f>IF(ISBLANK(F23), "", VLOOKUP($B23, _xlfn.IFS($A23="Solid fuels", $Q$9:$X$28,$A23="Liquid fuels", $Q$29:$X$52,$A23="Light duty vehicles",$Q$49:$Y$50,$A23="Heavy duty vehicles",$Q$51:$Y$58,$A23="Aviation",$Q$59:$Y$61,$A23="Vessel",$Q$63:$Y$65,TRUE,$Q$66:$Y$66),6,FALSE))</f>
        <v>0.03</v>
      </c>
      <c r="J23" s="12">
        <f>IF(ISBLANK(G23), "", VLOOKUP($B23, _xlfn.IFS($A23="Solid fuels", $Q$9:$X$28,$A23="Liquid fuels", $Q$29:$X$52,$A23="Light duty vehicles",$Q$49:$Y$50,$A23="Heavy duty vehicles",$Q$51:$Y$58,$A23="Aviation",$Q$59:$Y$61,$A23="Vessel",$Q$63:$Y$65,TRUE,$Q$66:$Y$66),8,FALSE))</f>
        <v>18</v>
      </c>
      <c r="K23" s="12">
        <f>C23*E23*G23/1000</f>
        <v>28.159559999999999</v>
      </c>
      <c r="L23" s="12">
        <f>C23*E23*H23/1000</f>
        <v>1.5443999999999998E-2</v>
      </c>
      <c r="M23" s="12">
        <f>C23*E23*I23/1000</f>
        <v>1.5443999999999998E-2</v>
      </c>
      <c r="N23" s="12">
        <f>C23*E23*J23/1000</f>
        <v>9.2663999999999991</v>
      </c>
      <c r="O23" s="12"/>
      <c r="Q23" t="s">
        <v>34</v>
      </c>
      <c r="R23">
        <v>10.4</v>
      </c>
      <c r="S23" t="s">
        <v>56</v>
      </c>
      <c r="T23">
        <v>0</v>
      </c>
      <c r="U23">
        <v>0.1</v>
      </c>
      <c r="V23">
        <v>1.1000000000000001</v>
      </c>
      <c r="W23">
        <v>1.2</v>
      </c>
      <c r="X23" t="s">
        <v>79</v>
      </c>
    </row>
    <row r="24" spans="1:24">
      <c r="A24" t="s">
        <v>45</v>
      </c>
      <c r="B24" t="s">
        <v>86</v>
      </c>
      <c r="C24">
        <v>11</v>
      </c>
      <c r="D24" s="12" t="s">
        <v>58</v>
      </c>
      <c r="E24" s="12">
        <f>IF(ISBLANK(A24), "", VLOOKUP($B24, _xlfn.IFS($A24="Solid fuels", $Q$9:$X$28,$A24="Liquid fuels", $Q$29:$X$52,$A24="Light duty vehicles",$Q$49:$Y$50,$A24="Heavy duty vehicles",$Q$51:$Y$58,$A24="Aviation",$Q$59:$Y$61,$A24="Vessel",$Q$63:$Y$65,TRUE,$Q$66:$Y$66),2,FALSE))</f>
        <v>34.200000000000003</v>
      </c>
      <c r="F24" s="12" t="str">
        <f>IF(ISBLANK(B24), "", VLOOKUP($B24, _xlfn.IFS($A24="Solid fuels", $Q$9:$X$28,$A24="Liquid fuels", $Q$29:$X$52,$A24="Light duty vehicles",$Q$49:$Y$50,$A24="Heavy duty vehicles",$Q$51:$Y$58,$A24="Aviation",$Q$59:$Y$61,$A24="Vessel",$Q$63:$Y$65,TRUE,$Q$66:$Y$66),3,FALSE))</f>
        <v>GJ/t</v>
      </c>
      <c r="G24" s="12">
        <f>IF(ISBLANK(C24), "", VLOOKUP($B24, _xlfn.IFS($A24="Solid fuels", $Q$9:$X$28,$A24="Liquid fuels", $Q$29:$X$52,$A24="Light duty vehicles",$Q$49:$Y$50,$A24="Heavy duty vehicles",$Q$51:$Y$58,$A24="Aviation",$Q$59:$Y$61,$A24="Vessel",$Q$63:$Y$65,TRUE,$Q$66:$Y$66),4,FALSE))</f>
        <v>92.6</v>
      </c>
      <c r="H24" s="12">
        <f>IF(ISBLANK(E24), "", VLOOKUP($B24, _xlfn.IFS($A24="Solid fuels", $Q$9:$X$28,$A24="Liquid fuels", $Q$29:$X$52,$A24="Light duty vehicles",$Q$49:$Y$50,$A24="Heavy duty vehicles",$Q$51:$Y$58,$A24="Aviation",$Q$59:$Y$61,$A24="Vessel",$Q$63:$Y$65,TRUE,$Q$66:$Y$66),5,FALSE))</f>
        <v>0.08</v>
      </c>
      <c r="I24" s="12">
        <f>IF(ISBLANK(F24), "", VLOOKUP($B24, _xlfn.IFS($A24="Solid fuels", $Q$9:$X$28,$A24="Liquid fuels", $Q$29:$X$52,$A24="Light duty vehicles",$Q$49:$Y$50,$A24="Heavy duty vehicles",$Q$51:$Y$58,$A24="Aviation",$Q$59:$Y$61,$A24="Vessel",$Q$63:$Y$65,TRUE,$Q$66:$Y$66),6,FALSE))</f>
        <v>0.2</v>
      </c>
      <c r="J24" s="12">
        <f>IF(ISBLANK(G24), "", VLOOKUP($B24, _xlfn.IFS($A24="Solid fuels", $Q$9:$X$28,$A24="Liquid fuels", $Q$29:$X$52,$A24="Light duty vehicles",$Q$49:$Y$50,$A24="Heavy duty vehicles",$Q$51:$Y$58,$A24="Aviation",$Q$59:$Y$61,$A24="Vessel",$Q$63:$Y$65,TRUE,$Q$66:$Y$66),8,FALSE))</f>
        <v>18</v>
      </c>
      <c r="K24" s="12">
        <f>C24*E24*G24/1000</f>
        <v>34.836120000000001</v>
      </c>
      <c r="L24" s="12">
        <f>C24*E24*H24/1000</f>
        <v>3.0096000000000005E-2</v>
      </c>
      <c r="M24" s="12">
        <f>C24*E24*I24/1000</f>
        <v>7.5240000000000015E-2</v>
      </c>
      <c r="N24" s="12">
        <f>C24*E24*J24/1000</f>
        <v>6.7716000000000003</v>
      </c>
      <c r="O24" s="12"/>
      <c r="Q24" t="s">
        <v>35</v>
      </c>
      <c r="R24">
        <v>12.4</v>
      </c>
      <c r="S24" t="s">
        <v>56</v>
      </c>
      <c r="T24" s="2">
        <v>0</v>
      </c>
      <c r="U24">
        <v>0.08</v>
      </c>
      <c r="V24">
        <v>0.5</v>
      </c>
      <c r="W24">
        <v>0.57999999999999996</v>
      </c>
      <c r="X24" t="s">
        <v>79</v>
      </c>
    </row>
    <row r="25" spans="1:24">
      <c r="A25" t="s">
        <v>45</v>
      </c>
      <c r="B25" t="s">
        <v>87</v>
      </c>
      <c r="C25">
        <v>10</v>
      </c>
      <c r="D25" s="12" t="s">
        <v>58</v>
      </c>
      <c r="E25" s="12">
        <f>IF(ISBLANK(A25), "", VLOOKUP($B25, _xlfn.IFS($A25="Solid fuels", $Q$9:$X$28,$A25="Liquid fuels", $Q$29:$X$52,$A25="Light duty vehicles",$Q$49:$Y$50,$A25="Heavy duty vehicles",$Q$51:$Y$58,$A25="Aviation",$Q$59:$Y$61,$A25="Vessel",$Q$63:$Y$65,TRUE,$Q$66:$Y$66),2,FALSE))</f>
        <v>34.4</v>
      </c>
      <c r="F25" s="12" t="str">
        <f>IF(ISBLANK(B25), "", VLOOKUP($B25, _xlfn.IFS($A25="Solid fuels", $Q$9:$X$28,$A25="Liquid fuels", $Q$29:$X$52,$A25="Light duty vehicles",$Q$49:$Y$50,$A25="Heavy duty vehicles",$Q$51:$Y$58,$A25="Aviation",$Q$59:$Y$61,$A25="Vessel",$Q$63:$Y$65,TRUE,$Q$66:$Y$66),3,FALSE))</f>
        <v>GJ/kL</v>
      </c>
      <c r="G25" s="12">
        <f>IF(ISBLANK(C25), "", VLOOKUP($B25, _xlfn.IFS($A25="Solid fuels", $Q$9:$X$28,$A25="Liquid fuels", $Q$29:$X$52,$A25="Light duty vehicles",$Q$49:$Y$50,$A25="Heavy duty vehicles",$Q$51:$Y$58,$A25="Aviation",$Q$59:$Y$61,$A25="Vessel",$Q$63:$Y$65,TRUE,$Q$66:$Y$66),4,FALSE))</f>
        <v>69.8</v>
      </c>
      <c r="H25" s="12">
        <f>IF(ISBLANK(E25), "", VLOOKUP($B25, _xlfn.IFS($A25="Solid fuels", $Q$9:$X$28,$A25="Liquid fuels", $Q$29:$X$52,$A25="Light duty vehicles",$Q$49:$Y$50,$A25="Heavy duty vehicles",$Q$51:$Y$58,$A25="Aviation",$Q$59:$Y$61,$A25="Vessel",$Q$63:$Y$65,TRUE,$Q$66:$Y$66),5,FALSE))</f>
        <v>0.02</v>
      </c>
      <c r="I25" s="12">
        <f>IF(ISBLANK(F25), "", VLOOKUP($B25, _xlfn.IFS($A25="Solid fuels", $Q$9:$X$28,$A25="Liquid fuels", $Q$29:$X$52,$A25="Light duty vehicles",$Q$49:$Y$50,$A25="Heavy duty vehicles",$Q$51:$Y$58,$A25="Aviation",$Q$59:$Y$61,$A25="Vessel",$Q$63:$Y$65,TRUE,$Q$66:$Y$66),6,FALSE))</f>
        <v>0.1</v>
      </c>
      <c r="J25" s="12">
        <f>IF(ISBLANK(G25), "", VLOOKUP($B25, _xlfn.IFS($A25="Solid fuels", $Q$9:$X$28,$A25="Liquid fuels", $Q$29:$X$52,$A25="Light duty vehicles",$Q$49:$Y$50,$A25="Heavy duty vehicles",$Q$51:$Y$58,$A25="Aviation",$Q$59:$Y$61,$A25="Vessel",$Q$63:$Y$65,TRUE,$Q$66:$Y$66),8,FALSE))</f>
        <v>18</v>
      </c>
      <c r="K25" s="12">
        <f>C25*E25*G25/1000</f>
        <v>24.011200000000002</v>
      </c>
      <c r="L25" s="12">
        <f>C25*E25*H25/1000</f>
        <v>6.8799999999999998E-3</v>
      </c>
      <c r="M25" s="12">
        <f>C25*E25*I25/1000</f>
        <v>3.44E-2</v>
      </c>
      <c r="N25" s="12">
        <f>C25*E25*J25/1000</f>
        <v>6.1920000000000002</v>
      </c>
      <c r="O25" s="12"/>
      <c r="Q25" t="s">
        <v>36</v>
      </c>
      <c r="R25">
        <v>9.6</v>
      </c>
      <c r="S25" t="s">
        <v>56</v>
      </c>
      <c r="T25" s="2">
        <v>0</v>
      </c>
      <c r="U25">
        <v>0.3</v>
      </c>
      <c r="V25">
        <v>1.1000000000000001</v>
      </c>
      <c r="W25">
        <v>1.4</v>
      </c>
      <c r="X25" t="s">
        <v>79</v>
      </c>
    </row>
    <row r="26" spans="1:24">
      <c r="A26" t="s">
        <v>59</v>
      </c>
      <c r="B26" t="s">
        <v>60</v>
      </c>
      <c r="C26">
        <v>6</v>
      </c>
      <c r="D26" s="2" t="s">
        <v>58</v>
      </c>
      <c r="E26" s="12">
        <f>$R$53</f>
        <v>25.3</v>
      </c>
      <c r="F26" s="12" t="str">
        <f>$S$53</f>
        <v>GJ/kL</v>
      </c>
      <c r="G26" s="12">
        <f>$T$53</f>
        <v>51.4</v>
      </c>
      <c r="H26" s="12">
        <f>$U$53</f>
        <v>0.1</v>
      </c>
      <c r="I26" s="12">
        <f>$V$53</f>
        <v>0.03</v>
      </c>
      <c r="J26" s="12">
        <f>IF(ISBLANK(A26), "", VLOOKUP(D26, $AA$38:$AC$45, 3, FALSE))</f>
        <v>14</v>
      </c>
      <c r="K26" s="12">
        <f>C26*E26*G26/1000</f>
        <v>7.8025200000000003</v>
      </c>
      <c r="L26" s="12">
        <f>C26*E26*H26/1000</f>
        <v>1.5180000000000001E-2</v>
      </c>
      <c r="M26" s="12">
        <f>C26*E26*I26/1000</f>
        <v>4.5539999999999999E-3</v>
      </c>
      <c r="N26" s="12">
        <f>C26*E26*J26/1000</f>
        <v>2.1252000000000004</v>
      </c>
      <c r="O26" s="12"/>
      <c r="Q26" t="s">
        <v>39</v>
      </c>
      <c r="R26" s="2">
        <v>12.2</v>
      </c>
      <c r="S26" t="s">
        <v>56</v>
      </c>
      <c r="T26">
        <v>0</v>
      </c>
      <c r="U26">
        <v>0.8</v>
      </c>
      <c r="V26">
        <v>1</v>
      </c>
      <c r="W26">
        <v>1.8</v>
      </c>
      <c r="X26" t="s">
        <v>79</v>
      </c>
    </row>
    <row r="27" spans="1:24">
      <c r="A27" t="s">
        <v>59</v>
      </c>
      <c r="B27" t="s">
        <v>60</v>
      </c>
      <c r="C27">
        <v>7</v>
      </c>
      <c r="D27" s="2" t="s">
        <v>70</v>
      </c>
      <c r="E27" s="12">
        <f>$R$53</f>
        <v>25.3</v>
      </c>
      <c r="F27" s="12" t="str">
        <f>$S$53</f>
        <v>GJ/kL</v>
      </c>
      <c r="G27" s="12">
        <f>$T$53</f>
        <v>51.4</v>
      </c>
      <c r="H27" s="12">
        <f>$U$53</f>
        <v>0.1</v>
      </c>
      <c r="I27" s="12">
        <f>$V$53</f>
        <v>0.03</v>
      </c>
      <c r="J27" s="12">
        <f t="shared" ref="J27:J31" si="10">IF(ISBLANK(A27), "", VLOOKUP(D27, $AA$38:$AC$45, 3, FALSE))</f>
        <v>4</v>
      </c>
      <c r="K27" s="12">
        <f t="shared" ref="K27:K31" si="11">C27*E27*G27/1000</f>
        <v>9.1029399999999985</v>
      </c>
      <c r="L27" s="12">
        <f t="shared" ref="L27:L31" si="12">C27*E27*H27/1000</f>
        <v>1.771E-2</v>
      </c>
      <c r="M27" s="12">
        <f t="shared" ref="M27:M31" si="13">C27*E27*I27/1000</f>
        <v>5.313E-3</v>
      </c>
      <c r="N27" s="12">
        <f>C27*E27*J27/1000</f>
        <v>0.70840000000000003</v>
      </c>
      <c r="O27" s="12"/>
      <c r="Q27" t="s">
        <v>37</v>
      </c>
      <c r="R27">
        <v>31.1</v>
      </c>
      <c r="S27" t="s">
        <v>56</v>
      </c>
      <c r="T27" s="2">
        <v>0</v>
      </c>
      <c r="U27" s="2">
        <v>5.3</v>
      </c>
      <c r="V27">
        <v>1</v>
      </c>
      <c r="W27">
        <v>6.3</v>
      </c>
      <c r="X27" t="s">
        <v>79</v>
      </c>
    </row>
    <row r="28" spans="1:24">
      <c r="A28" t="s">
        <v>59</v>
      </c>
      <c r="B28" t="s">
        <v>60</v>
      </c>
      <c r="C28">
        <v>8</v>
      </c>
      <c r="D28" s="2" t="s">
        <v>71</v>
      </c>
      <c r="E28" s="12">
        <f>$R$53</f>
        <v>25.3</v>
      </c>
      <c r="F28" s="12" t="str">
        <f>$S$53</f>
        <v>GJ/kL</v>
      </c>
      <c r="G28" s="12">
        <f>$T$53</f>
        <v>51.4</v>
      </c>
      <c r="H28" s="12">
        <f>$U$53</f>
        <v>0.1</v>
      </c>
      <c r="I28" s="12">
        <f>$V$53</f>
        <v>0.03</v>
      </c>
      <c r="J28" s="12">
        <f t="shared" si="10"/>
        <v>7.9</v>
      </c>
      <c r="K28" s="12">
        <f t="shared" si="11"/>
        <v>10.403360000000001</v>
      </c>
      <c r="L28" s="12">
        <f t="shared" si="12"/>
        <v>2.0240000000000001E-2</v>
      </c>
      <c r="M28" s="12">
        <f t="shared" si="13"/>
        <v>6.0720000000000001E-3</v>
      </c>
      <c r="N28" s="12">
        <f>C28*E28*J28/1000</f>
        <v>1.5989599999999999</v>
      </c>
      <c r="O28" s="12"/>
      <c r="Q28" t="s">
        <v>38</v>
      </c>
      <c r="R28">
        <v>12.2</v>
      </c>
      <c r="S28" t="s">
        <v>56</v>
      </c>
      <c r="T28" s="2">
        <v>0</v>
      </c>
      <c r="U28" s="2">
        <v>0.8</v>
      </c>
      <c r="V28">
        <v>1</v>
      </c>
      <c r="W28">
        <v>1.8</v>
      </c>
      <c r="X28" t="s">
        <v>79</v>
      </c>
    </row>
    <row r="29" spans="1:24">
      <c r="A29" t="s">
        <v>59</v>
      </c>
      <c r="B29" t="s">
        <v>60</v>
      </c>
      <c r="C29">
        <v>9</v>
      </c>
      <c r="D29" s="2" t="s">
        <v>72</v>
      </c>
      <c r="E29" s="12">
        <f>$R$53</f>
        <v>25.3</v>
      </c>
      <c r="F29" s="12" t="str">
        <f>$S$53</f>
        <v>GJ/kL</v>
      </c>
      <c r="G29" s="12">
        <f>$T$53</f>
        <v>51.4</v>
      </c>
      <c r="H29" s="12">
        <f>$U$53</f>
        <v>0.1</v>
      </c>
      <c r="I29" s="12">
        <f>$V$53</f>
        <v>0.03</v>
      </c>
      <c r="J29" s="12">
        <f t="shared" si="10"/>
        <v>10.6</v>
      </c>
      <c r="K29" s="12">
        <f t="shared" si="11"/>
        <v>11.70378</v>
      </c>
      <c r="L29" s="12">
        <f t="shared" si="12"/>
        <v>2.2770000000000002E-2</v>
      </c>
      <c r="M29" s="12">
        <f t="shared" si="13"/>
        <v>6.8310000000000003E-3</v>
      </c>
      <c r="N29" s="12">
        <f>C29*E29*J29/1000</f>
        <v>2.4136199999999999</v>
      </c>
      <c r="O29" s="12"/>
      <c r="P29" t="s">
        <v>45</v>
      </c>
      <c r="Q29" t="s">
        <v>46</v>
      </c>
      <c r="R29" s="2">
        <v>38.799999999999997</v>
      </c>
      <c r="S29" s="2" t="s">
        <v>15</v>
      </c>
      <c r="T29" s="2">
        <v>13.9</v>
      </c>
      <c r="U29">
        <v>0</v>
      </c>
      <c r="V29">
        <v>0</v>
      </c>
      <c r="W29">
        <v>13.9</v>
      </c>
      <c r="X29">
        <v>18</v>
      </c>
    </row>
    <row r="30" spans="1:24">
      <c r="A30" t="s">
        <v>59</v>
      </c>
      <c r="B30" t="s">
        <v>60</v>
      </c>
      <c r="C30">
        <v>10</v>
      </c>
      <c r="D30" s="2" t="s">
        <v>73</v>
      </c>
      <c r="E30" s="12">
        <f>$R$53</f>
        <v>25.3</v>
      </c>
      <c r="F30" s="12" t="str">
        <f>$S$53</f>
        <v>GJ/kL</v>
      </c>
      <c r="G30" s="12">
        <f>$T$53</f>
        <v>51.4</v>
      </c>
      <c r="H30" s="12">
        <f>$U$53</f>
        <v>0.1</v>
      </c>
      <c r="I30" s="12">
        <f>$V$53</f>
        <v>0.03</v>
      </c>
      <c r="J30" s="12">
        <f t="shared" si="10"/>
        <v>4</v>
      </c>
      <c r="K30" s="12">
        <f t="shared" si="11"/>
        <v>13.004199999999999</v>
      </c>
      <c r="L30" s="12">
        <f t="shared" si="12"/>
        <v>2.53E-2</v>
      </c>
      <c r="M30" s="12">
        <f t="shared" si="13"/>
        <v>7.5899999999999995E-3</v>
      </c>
      <c r="N30" s="12">
        <f>C30*E30*J30/1000</f>
        <v>1.012</v>
      </c>
      <c r="O30" s="12"/>
      <c r="Q30" t="s">
        <v>47</v>
      </c>
      <c r="R30">
        <v>38.799999999999997</v>
      </c>
      <c r="S30" s="2" t="s">
        <v>15</v>
      </c>
      <c r="T30">
        <v>3.5</v>
      </c>
      <c r="U30">
        <v>0</v>
      </c>
      <c r="V30">
        <v>0</v>
      </c>
      <c r="W30">
        <v>3.5</v>
      </c>
      <c r="X30">
        <v>18</v>
      </c>
    </row>
    <row r="31" spans="1:24">
      <c r="A31" t="s">
        <v>59</v>
      </c>
      <c r="B31" t="s">
        <v>60</v>
      </c>
      <c r="C31">
        <v>11</v>
      </c>
      <c r="D31" s="2" t="s">
        <v>74</v>
      </c>
      <c r="E31" s="12">
        <f>$R$53</f>
        <v>25.3</v>
      </c>
      <c r="F31" s="12" t="str">
        <f>$S$53</f>
        <v>GJ/kL</v>
      </c>
      <c r="G31" s="12">
        <f>$T$53</f>
        <v>51.4</v>
      </c>
      <c r="H31" s="12">
        <f>$U$53</f>
        <v>0.1</v>
      </c>
      <c r="I31" s="12">
        <f>$V$53</f>
        <v>0.03</v>
      </c>
      <c r="J31" s="12">
        <f t="shared" si="10"/>
        <v>4</v>
      </c>
      <c r="K31" s="12">
        <f t="shared" si="11"/>
        <v>14.304620000000002</v>
      </c>
      <c r="L31" s="12">
        <f t="shared" si="12"/>
        <v>2.7830000000000001E-2</v>
      </c>
      <c r="M31" s="12">
        <f t="shared" si="13"/>
        <v>8.3490000000000005E-3</v>
      </c>
      <c r="N31" s="12">
        <f>C31*E31*J31/1000</f>
        <v>1.1132</v>
      </c>
      <c r="O31" s="12"/>
      <c r="Q31" t="s">
        <v>48</v>
      </c>
      <c r="R31" s="2">
        <v>45.3</v>
      </c>
      <c r="S31" s="2" t="s">
        <v>56</v>
      </c>
      <c r="T31" s="2">
        <v>69.599999999999994</v>
      </c>
      <c r="U31">
        <v>0.08</v>
      </c>
      <c r="V31">
        <v>0.2</v>
      </c>
      <c r="W31">
        <v>69.88</v>
      </c>
      <c r="X31" t="s">
        <v>79</v>
      </c>
    </row>
    <row r="32" spans="1:24">
      <c r="A32" t="s">
        <v>59</v>
      </c>
      <c r="B32" t="s">
        <v>60</v>
      </c>
      <c r="C32">
        <v>12</v>
      </c>
      <c r="D32" s="2" t="s">
        <v>75</v>
      </c>
      <c r="E32" s="12">
        <f>$R$53</f>
        <v>25.3</v>
      </c>
      <c r="F32" s="12" t="str">
        <f>$S$53</f>
        <v>GJ/kL</v>
      </c>
      <c r="G32" s="12">
        <f>$T$53</f>
        <v>51.4</v>
      </c>
      <c r="H32" s="12">
        <f>$U$53</f>
        <v>0.1</v>
      </c>
      <c r="I32" s="12">
        <f>$V$53</f>
        <v>0.03</v>
      </c>
      <c r="J32" s="12">
        <f t="shared" ref="J32:J33" si="14">IF(ISBLANK(A32), "", VLOOKUP(D32, $AA$38:$AC$45, 3, FALSE))</f>
        <v>4</v>
      </c>
      <c r="K32" s="12">
        <f t="shared" ref="K32:K33" si="15">C32*E32*G32/1000</f>
        <v>15.605040000000001</v>
      </c>
      <c r="L32" s="12">
        <f t="shared" ref="L32:L33" si="16">C32*E32*H32/1000</f>
        <v>3.0360000000000002E-2</v>
      </c>
      <c r="M32" s="12">
        <f t="shared" ref="M32:M33" si="17">C32*E32*I32/1000</f>
        <v>9.1079999999999998E-3</v>
      </c>
      <c r="N32" s="12">
        <f>C32*E32*J32/1000</f>
        <v>1.2144000000000001</v>
      </c>
      <c r="O32" s="12"/>
      <c r="Q32" t="s">
        <v>49</v>
      </c>
      <c r="R32" s="2">
        <v>46.5</v>
      </c>
      <c r="S32" s="2" t="s">
        <v>56</v>
      </c>
      <c r="T32" s="2">
        <v>61</v>
      </c>
      <c r="U32">
        <v>0.08</v>
      </c>
      <c r="V32">
        <v>0.2</v>
      </c>
      <c r="W32">
        <v>61.28</v>
      </c>
      <c r="X32" t="s">
        <v>79</v>
      </c>
    </row>
    <row r="33" spans="1:29">
      <c r="A33" t="s">
        <v>59</v>
      </c>
      <c r="B33" t="s">
        <v>60</v>
      </c>
      <c r="C33">
        <v>13</v>
      </c>
      <c r="D33" s="2" t="s">
        <v>76</v>
      </c>
      <c r="E33" s="12">
        <f>$R$53</f>
        <v>25.3</v>
      </c>
      <c r="F33" s="12" t="str">
        <f>$S$53</f>
        <v>GJ/kL</v>
      </c>
      <c r="G33" s="12">
        <f>$T$53</f>
        <v>51.4</v>
      </c>
      <c r="H33" s="12">
        <f>$U$53</f>
        <v>0.1</v>
      </c>
      <c r="I33" s="12">
        <f>$V$53</f>
        <v>0.03</v>
      </c>
      <c r="J33" s="12">
        <f t="shared" si="14"/>
        <v>4</v>
      </c>
      <c r="K33" s="12">
        <f t="shared" si="15"/>
        <v>16.905460000000001</v>
      </c>
      <c r="L33" s="12">
        <f t="shared" si="16"/>
        <v>3.289000000000001E-2</v>
      </c>
      <c r="M33" s="12">
        <f t="shared" si="17"/>
        <v>9.8670000000000008E-3</v>
      </c>
      <c r="N33" s="12">
        <f>C33*E33*J33/1000</f>
        <v>1.3156000000000001</v>
      </c>
      <c r="O33" s="12"/>
      <c r="Q33" t="s">
        <v>50</v>
      </c>
      <c r="R33">
        <v>34.200000000000003</v>
      </c>
      <c r="S33" s="2" t="s">
        <v>15</v>
      </c>
      <c r="T33">
        <v>67.400000000000006</v>
      </c>
      <c r="U33">
        <v>0.2</v>
      </c>
      <c r="V33">
        <v>0.2</v>
      </c>
      <c r="W33">
        <v>67.8</v>
      </c>
      <c r="X33">
        <v>17.2</v>
      </c>
    </row>
    <row r="34" spans="1:29">
      <c r="O34" s="12"/>
      <c r="Q34" t="s">
        <v>51</v>
      </c>
      <c r="R34" s="2">
        <v>33.1</v>
      </c>
      <c r="S34" s="2" t="s">
        <v>15</v>
      </c>
      <c r="T34" s="2">
        <v>67</v>
      </c>
      <c r="U34" s="8">
        <v>0.2</v>
      </c>
      <c r="V34">
        <v>0.2</v>
      </c>
      <c r="W34">
        <v>67.400000000000006</v>
      </c>
      <c r="X34">
        <v>18</v>
      </c>
    </row>
    <row r="35" spans="1:29" ht="17">
      <c r="O35" s="12"/>
      <c r="P35" s="7"/>
      <c r="Q35" s="7" t="s">
        <v>52</v>
      </c>
      <c r="R35" s="14">
        <v>37.5</v>
      </c>
      <c r="S35" s="2" t="s">
        <v>15</v>
      </c>
      <c r="T35">
        <v>68.900000000000006</v>
      </c>
      <c r="U35" s="14">
        <v>0.01</v>
      </c>
      <c r="V35" s="15">
        <v>0.2</v>
      </c>
      <c r="W35" s="7">
        <v>69.11</v>
      </c>
      <c r="X35" s="7">
        <v>18</v>
      </c>
      <c r="Y35" s="7"/>
      <c r="AA35" s="16" t="s">
        <v>61</v>
      </c>
      <c r="AB35" s="2"/>
      <c r="AC35" s="2"/>
    </row>
    <row r="36" spans="1:29" ht="34">
      <c r="O36" s="12"/>
      <c r="Q36" t="s">
        <v>53</v>
      </c>
      <c r="R36" s="2">
        <v>36.799999999999997</v>
      </c>
      <c r="S36" s="2" t="s">
        <v>15</v>
      </c>
      <c r="T36">
        <v>69.599999999999994</v>
      </c>
      <c r="U36" s="2">
        <v>0.02</v>
      </c>
      <c r="V36" s="8">
        <v>0.2</v>
      </c>
      <c r="W36">
        <v>69.819999999999993</v>
      </c>
      <c r="X36">
        <v>18</v>
      </c>
      <c r="AA36" s="16"/>
      <c r="AB36" s="14" t="s">
        <v>69</v>
      </c>
      <c r="AC36" s="14" t="s">
        <v>69</v>
      </c>
    </row>
    <row r="37" spans="1:29">
      <c r="O37" s="12"/>
      <c r="Q37" t="s">
        <v>54</v>
      </c>
      <c r="R37">
        <v>37.299999999999997</v>
      </c>
      <c r="S37" s="2" t="s">
        <v>15</v>
      </c>
      <c r="T37">
        <v>69.5</v>
      </c>
      <c r="U37">
        <v>0.03</v>
      </c>
      <c r="V37">
        <v>0.2</v>
      </c>
      <c r="W37">
        <v>69.73</v>
      </c>
      <c r="X37">
        <v>18</v>
      </c>
      <c r="AA37" s="16"/>
      <c r="AB37" s="2" t="s">
        <v>62</v>
      </c>
      <c r="AC37" s="2" t="s">
        <v>63</v>
      </c>
    </row>
    <row r="38" spans="1:29">
      <c r="O38" s="12"/>
      <c r="Q38" t="s">
        <v>12</v>
      </c>
      <c r="R38" s="2">
        <v>38.6</v>
      </c>
      <c r="S38" s="2" t="s">
        <v>15</v>
      </c>
      <c r="T38">
        <v>69.900000000000006</v>
      </c>
      <c r="U38" s="2">
        <v>0.1</v>
      </c>
      <c r="V38">
        <v>0.2</v>
      </c>
      <c r="W38">
        <v>70.2</v>
      </c>
      <c r="X38">
        <v>17.3</v>
      </c>
      <c r="AA38" s="2" t="s">
        <v>58</v>
      </c>
      <c r="AB38" s="2" t="s">
        <v>64</v>
      </c>
      <c r="AC38" s="2">
        <v>14</v>
      </c>
    </row>
    <row r="39" spans="1:29">
      <c r="A39" t="s">
        <v>93</v>
      </c>
      <c r="O39" s="12"/>
      <c r="Q39" t="s">
        <v>13</v>
      </c>
      <c r="R39" s="2">
        <v>39.700000000000003</v>
      </c>
      <c r="S39" s="2" t="s">
        <v>15</v>
      </c>
      <c r="T39">
        <v>73.599999999999994</v>
      </c>
      <c r="U39" s="2">
        <v>0.04</v>
      </c>
      <c r="V39">
        <v>0.2</v>
      </c>
      <c r="W39">
        <v>73.84</v>
      </c>
      <c r="X39">
        <v>18</v>
      </c>
      <c r="AA39" s="2" t="s">
        <v>70</v>
      </c>
      <c r="AB39" s="2" t="s">
        <v>65</v>
      </c>
      <c r="AC39" s="2">
        <v>4</v>
      </c>
    </row>
    <row r="40" spans="1:29">
      <c r="A40" t="s">
        <v>43</v>
      </c>
      <c r="B40" t="s">
        <v>22</v>
      </c>
      <c r="C40" s="12">
        <v>7</v>
      </c>
      <c r="D40" s="12" t="s">
        <v>58</v>
      </c>
      <c r="E40" s="12">
        <f>IF(ISBLANK(A40), "", VLOOKUP($B40, _xlfn.IFS($A40="Solid fuels", $Q$9:$X$28,$A40="Cars and light commercial vehicles (pre 2004)", $Q$44:$Y$48,$A40="Light duty vehicles",$Q$49:$Y$50,$A40="Heavy duty vehicles",$Q$51:$Y$58,$A40="Aviation",$Q$59:$Y$61,$A40="Vessel",$Q$63:$Y$65,TRUE,$Q$66:$Y$66),2,FALSE))</f>
        <v>29</v>
      </c>
      <c r="F40" s="12" t="str">
        <f>IF(ISBLANK(B40), "", VLOOKUP($B40, _xlfn.IFS($A40="Solid fuels", $Q$9:$X$28,$A40="Cars and light commercial vehicles (pre 2004)", $Q$44:$Y$48,$A40="Light duty vehicles",$Q$49:$Y$50,$A40="Heavy duty vehicles",$Q$51:$Y$58,$A40="Aviation",$Q$59:$Y$61,$A40="Vessel",$Q$63:$Y$65,TRUE,$Q$66:$Y$66),3,FALSE))</f>
        <v>GJ/t</v>
      </c>
      <c r="G40" s="12">
        <f>IF(ISBLANK(A40), "", VLOOKUP($B40, _xlfn.IFS($A40="Solid fuels", $Q$9:$X$28,$A40="Cars and light commercial vehicles (pre 2004)", $Q$44:$Y$48,$A40="Light duty vehicles",$Q$49:$Y$50,$A40="Heavy duty vehicles",$Q$51:$Y$58,$A40="Aviation",$Q$59:$Y$61,$A40="Vessel",$Q$63:$Y$65,TRUE,$Q$66:$Y$66),4,FALSE))</f>
        <v>90</v>
      </c>
      <c r="H40" s="12">
        <f>IF(ISBLANK(A40), "", VLOOKUP($B40, _xlfn.IFS($A40="Solid fuels", $Q$9:$X$28,$A40="Cars and light commercial vehicles (pre 2004)", $Q$44:$Y$48,$A40="Light duty vehicles",$Q$49:$Y$50,$A40="Heavy duty vehicles",$Q$51:$Y$58,$A40="Aviation",$Q$59:$Y$61,$A40="Vessel",$Q$63:$Y$65,TRUE,$Q$66:$Y$66),5,FALSE))</f>
        <v>0.04</v>
      </c>
      <c r="I40" s="12">
        <f>IF(ISBLANK(A40), "", VLOOKUP($B40, _xlfn.IFS($A40="Solid fuels", $Q$9:$X$28,$A40="Cars and light commercial vehicles (pre 2004)", $Q$44:$Y$48,$A40="Light duty vehicles",$Q$49:$Y$50,$A40="Heavy duty vehicles",$Q$51:$Y$58,$A40="Aviation",$Q$59:$Y$61,$A40="Vessel",$Q$63:$Y$65,TRUE,$Q$66:$Y$66),6,FALSE))</f>
        <v>0.2</v>
      </c>
      <c r="J40" s="12" t="str">
        <f>IF(ISBLANK(A40), "", VLOOKUP($B40, _xlfn.IFS($A40="Solid fuels", $Q$9:$X$28,$A40="Cars and light commercial vehicles (pre 2004)", $Q$44:$Y$48,$A40="Light duty vehicles",$Q$49:$Y$50,$A40="Heavy duty vehicles",$Q$51:$Y$58,$A40="Aviation",$Q$59:$Y$61,$A40="Vessel",$Q$63:$Y$65,TRUE,$Q$66:$Y$66),8,FALSE))</f>
        <v>NE</v>
      </c>
      <c r="K40" s="12">
        <f>C40*E40*G40/1000</f>
        <v>18.27</v>
      </c>
      <c r="L40" s="12">
        <f>C40*E40*H40/1000</f>
        <v>8.1200000000000005E-3</v>
      </c>
      <c r="M40" s="12">
        <f>C40*E40*I40/1000</f>
        <v>4.0600000000000004E-2</v>
      </c>
      <c r="N40" s="12" t="e">
        <f>C40*E40*J40/1000</f>
        <v>#VALUE!</v>
      </c>
      <c r="O40" s="12"/>
      <c r="Q40" t="s">
        <v>80</v>
      </c>
      <c r="R40">
        <v>34.4</v>
      </c>
      <c r="S40" t="s">
        <v>15</v>
      </c>
      <c r="T40">
        <v>69.7</v>
      </c>
      <c r="U40">
        <v>0.03</v>
      </c>
      <c r="V40">
        <v>0.2</v>
      </c>
      <c r="W40">
        <v>69.930000000000007</v>
      </c>
      <c r="X40" s="7">
        <v>18</v>
      </c>
      <c r="AA40" s="2" t="s">
        <v>71</v>
      </c>
      <c r="AB40" s="2" t="s">
        <v>66</v>
      </c>
      <c r="AC40" s="2">
        <v>7.9</v>
      </c>
    </row>
    <row r="41" spans="1:29">
      <c r="A41" t="s">
        <v>43</v>
      </c>
      <c r="B41" t="s">
        <v>25</v>
      </c>
      <c r="C41" s="12">
        <v>10</v>
      </c>
      <c r="D41" s="12" t="s">
        <v>58</v>
      </c>
      <c r="E41" s="12">
        <f>IF(ISBLANK(A41), "", VLOOKUP($B41, _xlfn.IFS($A41="Solid fuels", $Q$9:$X$28,$A41="Cars and light commercial vehicles (pre 2004)", $Q$44:$Y$48,$A41="Light duty vehicles",$Q$49:$Y$50,$A41="Heavy duty vehicles",$Q$51:$Y$58,$A41="Aviation",$Q$59:$Y$61,$A41="Vessel",$Q$63:$Y$65,TRUE,$Q$66:$Y$66),2,FALSE))</f>
        <v>22.1</v>
      </c>
      <c r="F41" s="12" t="str">
        <f>IF(ISBLANK(B41), "", VLOOKUP($B41, _xlfn.IFS($A41="Solid fuels", $Q$9:$X$28,$A41="Cars and light commercial vehicles (pre 2004)", $Q$44:$Y$48,$A41="Light duty vehicles",$Q$49:$Y$50,$A41="Heavy duty vehicles",$Q$51:$Y$58,$A41="Aviation",$Q$59:$Y$61,$A41="Vessel",$Q$63:$Y$65,TRUE,$Q$66:$Y$66),3,FALSE))</f>
        <v>GJ/t</v>
      </c>
      <c r="G41" s="12">
        <f>IF(ISBLANK(A41), "", VLOOKUP($B41, _xlfn.IFS($A41="Solid fuels", $Q$9:$X$28,$A41="Cars and light commercial vehicles (pre 2004)", $Q$44:$Y$48,$A41="Light duty vehicles",$Q$49:$Y$50,$A41="Heavy duty vehicles",$Q$51:$Y$58,$A41="Aviation",$Q$59:$Y$61,$A41="Vessel",$Q$63:$Y$65,TRUE,$Q$66:$Y$66),4,FALSE))</f>
        <v>95</v>
      </c>
      <c r="H41" s="12">
        <f>IF(ISBLANK(A41), "", VLOOKUP($B41, _xlfn.IFS($A41="Solid fuels", $Q$9:$X$28,$A41="Cars and light commercial vehicles (pre 2004)", $Q$44:$Y$48,$A41="Light duty vehicles",$Q$49:$Y$50,$A41="Heavy duty vehicles",$Q$51:$Y$58,$A41="Aviation",$Q$59:$Y$61,$A41="Vessel",$Q$63:$Y$65,TRUE,$Q$66:$Y$66),5,FALSE))</f>
        <v>0.08</v>
      </c>
      <c r="I41" s="12">
        <f>IF(ISBLANK(A41), "", VLOOKUP($B41, _xlfn.IFS($A41="Solid fuels", $Q$9:$X$28,$A41="Cars and light commercial vehicles (pre 2004)", $Q$44:$Y$48,$A41="Light duty vehicles",$Q$49:$Y$50,$A41="Heavy duty vehicles",$Q$51:$Y$58,$A41="Aviation",$Q$59:$Y$61,$A41="Vessel",$Q$63:$Y$65,TRUE,$Q$66:$Y$66),6,FALSE))</f>
        <v>0.3</v>
      </c>
      <c r="J41" s="12" t="str">
        <f>IF(ISBLANK(A41), "", VLOOKUP($B41, _xlfn.IFS($A41="Solid fuels", $Q$9:$X$28,$A41="Cars and light commercial vehicles (pre 2004)", $Q$44:$Y$48,$A41="Light duty vehicles",$Q$49:$Y$50,$A41="Heavy duty vehicles",$Q$51:$Y$58,$A41="Aviation",$Q$59:$Y$61,$A41="Vessel",$Q$63:$Y$65,TRUE,$Q$66:$Y$66),8,FALSE))</f>
        <v>NE</v>
      </c>
      <c r="K41" s="12">
        <f>C41*E41*G41/1000</f>
        <v>20.995000000000001</v>
      </c>
      <c r="L41" s="12">
        <f>C41*E41*H41/1000</f>
        <v>1.7680000000000001E-2</v>
      </c>
      <c r="M41" s="12">
        <f>C41*E41*I41/1000</f>
        <v>6.6299999999999998E-2</v>
      </c>
      <c r="N41" s="12" t="e">
        <f>C41*E41*J41/1000</f>
        <v>#VALUE!</v>
      </c>
      <c r="O41" s="12"/>
      <c r="Q41" t="s">
        <v>81</v>
      </c>
      <c r="R41" s="2">
        <v>34.4</v>
      </c>
      <c r="S41" s="2" t="s">
        <v>15</v>
      </c>
      <c r="T41">
        <v>69.7</v>
      </c>
      <c r="U41" s="2">
        <v>0.03</v>
      </c>
      <c r="V41">
        <v>0.2</v>
      </c>
      <c r="W41">
        <v>69.930000000000007</v>
      </c>
      <c r="X41" s="7">
        <v>18</v>
      </c>
      <c r="AA41" s="2" t="s">
        <v>72</v>
      </c>
      <c r="AB41" s="2" t="s">
        <v>67</v>
      </c>
      <c r="AC41" s="2">
        <v>10.6</v>
      </c>
    </row>
    <row r="42" spans="1:29">
      <c r="A42" t="s">
        <v>43</v>
      </c>
      <c r="B42" t="s">
        <v>26</v>
      </c>
      <c r="C42" s="12">
        <v>11</v>
      </c>
      <c r="D42" s="12" t="s">
        <v>58</v>
      </c>
      <c r="E42" s="12">
        <f>IF(ISBLANK(A42), "", VLOOKUP($B42, _xlfn.IFS($A42="Solid fuels", $Q$9:$X$28,$A42="Cars and light commercial vehicles (pre 2004)", $Q$44:$Y$48,$A42="Light duty vehicles",$Q$49:$Y$50,$A42="Heavy duty vehicles",$Q$51:$Y$58,$A42="Aviation",$Q$59:$Y$61,$A42="Vessel",$Q$63:$Y$65,TRUE,$Q$66:$Y$66),2,FALSE))</f>
        <v>27</v>
      </c>
      <c r="F42" s="12" t="str">
        <f>IF(ISBLANK(B42), "", VLOOKUP($B42, _xlfn.IFS($A42="Solid fuels", $Q$9:$X$28,$A42="Cars and light commercial vehicles (pre 2004)", $Q$44:$Y$48,$A42="Light duty vehicles",$Q$49:$Y$50,$A42="Heavy duty vehicles",$Q$51:$Y$58,$A42="Aviation",$Q$59:$Y$61,$A42="Vessel",$Q$63:$Y$65,TRUE,$Q$66:$Y$66),3,FALSE))</f>
        <v>GJ/t</v>
      </c>
      <c r="G42" s="12">
        <f>IF(ISBLANK(A42), "", VLOOKUP($B42, _xlfn.IFS($A42="Solid fuels", $Q$9:$X$28,$A42="Cars and light commercial vehicles (pre 2004)", $Q$44:$Y$48,$A42="Light duty vehicles",$Q$49:$Y$50,$A42="Heavy duty vehicles",$Q$51:$Y$58,$A42="Aviation",$Q$59:$Y$61,$A42="Vessel",$Q$63:$Y$65,TRUE,$Q$66:$Y$66),4,FALSE))</f>
        <v>107</v>
      </c>
      <c r="H42" s="12">
        <f>IF(ISBLANK(A42), "", VLOOKUP($B42, _xlfn.IFS($A42="Solid fuels", $Q$9:$X$28,$A42="Cars and light commercial vehicles (pre 2004)", $Q$44:$Y$48,$A42="Light duty vehicles",$Q$49:$Y$50,$A42="Heavy duty vehicles",$Q$51:$Y$58,$A42="Aviation",$Q$59:$Y$61,$A42="Vessel",$Q$63:$Y$65,TRUE,$Q$66:$Y$66),5,FALSE))</f>
        <v>0.03</v>
      </c>
      <c r="I42" s="12">
        <f>IF(ISBLANK(A42), "", VLOOKUP($B42, _xlfn.IFS($A42="Solid fuels", $Q$9:$X$28,$A42="Cars and light commercial vehicles (pre 2004)", $Q$44:$Y$48,$A42="Light duty vehicles",$Q$49:$Y$50,$A42="Heavy duty vehicles",$Q$51:$Y$58,$A42="Aviation",$Q$59:$Y$61,$A42="Vessel",$Q$63:$Y$65,TRUE,$Q$66:$Y$66),6,FALSE))</f>
        <v>0.2</v>
      </c>
      <c r="J42" s="12" t="str">
        <f>IF(ISBLANK(A42), "", VLOOKUP($B42, _xlfn.IFS($A42="Solid fuels", $Q$9:$X$28,$A42="Cars and light commercial vehicles (pre 2004)", $Q$44:$Y$48,$A42="Light duty vehicles",$Q$49:$Y$50,$A42="Heavy duty vehicles",$Q$51:$Y$58,$A42="Aviation",$Q$59:$Y$61,$A42="Vessel",$Q$63:$Y$65,TRUE,$Q$66:$Y$66),8,FALSE))</f>
        <v>NE</v>
      </c>
      <c r="K42" s="12">
        <f>C42*E42*G42/1000</f>
        <v>31.779</v>
      </c>
      <c r="L42" s="12">
        <f>C42*E42*H42/1000</f>
        <v>8.9099999999999995E-3</v>
      </c>
      <c r="M42" s="12">
        <f>C42*E42*I42/1000</f>
        <v>5.9400000000000008E-2</v>
      </c>
      <c r="N42" s="12" t="e">
        <f>C42*E42*J42/1000</f>
        <v>#VALUE!</v>
      </c>
      <c r="O42" s="12"/>
      <c r="Q42" t="s">
        <v>82</v>
      </c>
      <c r="R42" s="2">
        <v>25.7</v>
      </c>
      <c r="S42" s="2" t="s">
        <v>15</v>
      </c>
      <c r="T42">
        <v>60.2</v>
      </c>
      <c r="U42" s="11">
        <v>0.2</v>
      </c>
      <c r="V42" s="10">
        <v>0.2</v>
      </c>
      <c r="W42" s="10">
        <v>60.6</v>
      </c>
      <c r="X42" s="10">
        <v>20.2</v>
      </c>
      <c r="Y42" s="10"/>
      <c r="Z42" s="10"/>
      <c r="AA42" s="2" t="s">
        <v>73</v>
      </c>
      <c r="AB42" s="2" t="s">
        <v>68</v>
      </c>
      <c r="AC42" s="2">
        <v>4</v>
      </c>
    </row>
    <row r="43" spans="1:29">
      <c r="A43" t="s">
        <v>43</v>
      </c>
      <c r="B43" t="s">
        <v>27</v>
      </c>
      <c r="C43" s="12">
        <v>12</v>
      </c>
      <c r="D43" s="12" t="s">
        <v>58</v>
      </c>
      <c r="E43" s="12">
        <f>IF(ISBLANK(A43), "", VLOOKUP($B43, _xlfn.IFS($A43="Solid fuels", $Q$9:$X$28,$A43="Cars and light commercial vehicles (pre 2004)", $Q$44:$Y$48,$A43="Light duty vehicles",$Q$49:$Y$50,$A43="Heavy duty vehicles",$Q$51:$Y$58,$A43="Aviation",$Q$59:$Y$61,$A43="Vessel",$Q$63:$Y$65,TRUE,$Q$66:$Y$66),2,FALSE))</f>
        <v>37.5</v>
      </c>
      <c r="F43" s="12" t="str">
        <f>IF(ISBLANK(B43), "", VLOOKUP($B43, _xlfn.IFS($A43="Solid fuels", $Q$9:$X$28,$A43="Cars and light commercial vehicles (pre 2004)", $Q$44:$Y$48,$A43="Light duty vehicles",$Q$49:$Y$50,$A43="Heavy duty vehicles",$Q$51:$Y$58,$A43="Aviation",$Q$59:$Y$61,$A43="Vessel",$Q$63:$Y$65,TRUE,$Q$66:$Y$66),3,FALSE))</f>
        <v>GJ/t</v>
      </c>
      <c r="G43" s="12">
        <f>IF(ISBLANK(A43), "", VLOOKUP($B43, _xlfn.IFS($A43="Solid fuels", $Q$9:$X$28,$A43="Cars and light commercial vehicles (pre 2004)", $Q$44:$Y$48,$A43="Light duty vehicles",$Q$49:$Y$50,$A43="Heavy duty vehicles",$Q$51:$Y$58,$A43="Aviation",$Q$59:$Y$61,$A43="Vessel",$Q$63:$Y$65,TRUE,$Q$66:$Y$66),4,FALSE))</f>
        <v>81.8</v>
      </c>
      <c r="H43" s="12">
        <f>IF(ISBLANK(A43), "", VLOOKUP($B43, _xlfn.IFS($A43="Solid fuels", $Q$9:$X$28,$A43="Cars and light commercial vehicles (pre 2004)", $Q$44:$Y$48,$A43="Light duty vehicles",$Q$49:$Y$50,$A43="Heavy duty vehicles",$Q$51:$Y$58,$A43="Aviation",$Q$59:$Y$61,$A43="Vessel",$Q$63:$Y$65,TRUE,$Q$66:$Y$66),5,FALSE))</f>
        <v>0.03</v>
      </c>
      <c r="I43" s="12">
        <f>IF(ISBLANK(A43), "", VLOOKUP($B43, _xlfn.IFS($A43="Solid fuels", $Q$9:$X$28,$A43="Cars and light commercial vehicles (pre 2004)", $Q$44:$Y$48,$A43="Light duty vehicles",$Q$49:$Y$50,$A43="Heavy duty vehicles",$Q$51:$Y$58,$A43="Aviation",$Q$59:$Y$61,$A43="Vessel",$Q$63:$Y$65,TRUE,$Q$66:$Y$66),6,FALSE))</f>
        <v>0.2</v>
      </c>
      <c r="J43" s="12" t="str">
        <f>IF(ISBLANK(A43), "", VLOOKUP($B43, _xlfn.IFS($A43="Solid fuels", $Q$9:$X$28,$A43="Cars and light commercial vehicles (pre 2004)", $Q$44:$Y$48,$A43="Light duty vehicles",$Q$49:$Y$50,$A43="Heavy duty vehicles",$Q$51:$Y$58,$A43="Aviation",$Q$59:$Y$61,$A43="Vessel",$Q$63:$Y$65,TRUE,$Q$66:$Y$66),8,FALSE))</f>
        <v>NE</v>
      </c>
      <c r="K43" s="12">
        <f>C43*E43*G43/1000</f>
        <v>36.81</v>
      </c>
      <c r="L43" s="12">
        <f>C43*E43*H43/1000</f>
        <v>1.35E-2</v>
      </c>
      <c r="M43" s="12">
        <f>C43*E43*I43/1000</f>
        <v>0.09</v>
      </c>
      <c r="N43" s="12" t="e">
        <f>C43*E43*J43/1000</f>
        <v>#VALUE!</v>
      </c>
      <c r="Q43" t="s">
        <v>83</v>
      </c>
      <c r="R43" s="2">
        <v>31.4</v>
      </c>
      <c r="S43" s="2" t="s">
        <v>15</v>
      </c>
      <c r="T43">
        <v>69.8</v>
      </c>
      <c r="U43" s="11">
        <v>0.01</v>
      </c>
      <c r="V43" s="10">
        <v>0.01</v>
      </c>
      <c r="W43" s="10">
        <v>69.819999999999993</v>
      </c>
      <c r="X43" s="10">
        <v>18</v>
      </c>
      <c r="Y43" s="10"/>
      <c r="Z43" s="10"/>
      <c r="AA43" s="2" t="s">
        <v>74</v>
      </c>
      <c r="AB43" s="2" t="s">
        <v>68</v>
      </c>
      <c r="AC43" s="2">
        <v>4</v>
      </c>
    </row>
    <row r="44" spans="1:29">
      <c r="A44" t="s">
        <v>43</v>
      </c>
      <c r="B44" t="s">
        <v>28</v>
      </c>
      <c r="C44" s="12">
        <v>4</v>
      </c>
      <c r="D44" s="12" t="s">
        <v>58</v>
      </c>
      <c r="E44" s="12">
        <f>IF(ISBLANK(A44), "", VLOOKUP($B44, _xlfn.IFS($A44="Solid fuels", $Q$9:$X$28,$A44="Cars and light commercial vehicles (pre 2004)", $Q$44:$Y$48,$A44="Light duty vehicles",$Q$49:$Y$50,$A44="Heavy duty vehicles",$Q$51:$Y$58,$A44="Aviation",$Q$59:$Y$61,$A44="Vessel",$Q$63:$Y$65,TRUE,$Q$66:$Y$66),2,FALSE))</f>
        <v>22.1</v>
      </c>
      <c r="F44" s="12" t="str">
        <f>IF(ISBLANK(B44), "", VLOOKUP($B44, _xlfn.IFS($A44="Solid fuels", $Q$9:$X$28,$A44="Cars and light commercial vehicles (pre 2004)", $Q$44:$Y$48,$A44="Light duty vehicles",$Q$49:$Y$50,$A44="Heavy duty vehicles",$Q$51:$Y$58,$A44="Aviation",$Q$59:$Y$61,$A44="Vessel",$Q$63:$Y$65,TRUE,$Q$66:$Y$66),3,FALSE))</f>
        <v>GJ/t</v>
      </c>
      <c r="G44" s="12">
        <f>IF(ISBLANK(A44), "", VLOOKUP($B44, _xlfn.IFS($A44="Solid fuels", $Q$9:$X$28,$A44="Cars and light commercial vehicles (pre 2004)", $Q$44:$Y$48,$A44="Light duty vehicles",$Q$49:$Y$50,$A44="Heavy duty vehicles",$Q$51:$Y$58,$A44="Aviation",$Q$59:$Y$61,$A44="Vessel",$Q$63:$Y$65,TRUE,$Q$66:$Y$66),4,FALSE))</f>
        <v>95</v>
      </c>
      <c r="H44" s="12">
        <f>IF(ISBLANK(A44), "", VLOOKUP($B44, _xlfn.IFS($A44="Solid fuels", $Q$9:$X$28,$A44="Cars and light commercial vehicles (pre 2004)", $Q$44:$Y$48,$A44="Light duty vehicles",$Q$49:$Y$50,$A44="Heavy duty vehicles",$Q$51:$Y$58,$A44="Aviation",$Q$59:$Y$61,$A44="Vessel",$Q$63:$Y$65,TRUE,$Q$66:$Y$66),5,FALSE))</f>
        <v>0.08</v>
      </c>
      <c r="I44" s="12">
        <f>IF(ISBLANK(A44), "", VLOOKUP($B44, _xlfn.IFS($A44="Solid fuels", $Q$9:$X$28,$A44="Cars and light commercial vehicles (pre 2004)", $Q$44:$Y$48,$A44="Light duty vehicles",$Q$49:$Y$50,$A44="Heavy duty vehicles",$Q$51:$Y$58,$A44="Aviation",$Q$59:$Y$61,$A44="Vessel",$Q$63:$Y$65,TRUE,$Q$66:$Y$66),6,FALSE))</f>
        <v>0.2</v>
      </c>
      <c r="J44" s="12" t="str">
        <f>IF(ISBLANK(A44), "", VLOOKUP($B44, _xlfn.IFS($A44="Solid fuels", $Q$9:$X$28,$A44="Cars and light commercial vehicles (pre 2004)", $Q$44:$Y$48,$A44="Light duty vehicles",$Q$49:$Y$50,$A44="Heavy duty vehicles",$Q$51:$Y$58,$A44="Aviation",$Q$59:$Y$61,$A44="Vessel",$Q$63:$Y$65,TRUE,$Q$66:$Y$66),8,FALSE))</f>
        <v>NE</v>
      </c>
      <c r="K44" s="12">
        <f>C44*E44*G44/1000</f>
        <v>8.3979999999999997</v>
      </c>
      <c r="L44" s="12">
        <f>C44*E44*H44/1000</f>
        <v>7.072000000000001E-3</v>
      </c>
      <c r="M44" s="12">
        <f>C44*E44*I44/1000</f>
        <v>1.7680000000000005E-2</v>
      </c>
      <c r="N44" s="12" t="e">
        <f>C44*E44*J44/1000</f>
        <v>#VALUE!</v>
      </c>
      <c r="Q44" t="s">
        <v>84</v>
      </c>
      <c r="R44" s="2">
        <v>34.200000000000003</v>
      </c>
      <c r="S44" s="2" t="s">
        <v>56</v>
      </c>
      <c r="T44">
        <v>92.6</v>
      </c>
      <c r="U44" s="2">
        <v>0.08</v>
      </c>
      <c r="V44" s="8">
        <v>0.2</v>
      </c>
      <c r="W44">
        <v>92.88</v>
      </c>
      <c r="X44">
        <v>18</v>
      </c>
      <c r="Z44" s="10"/>
      <c r="AA44" s="2" t="s">
        <v>75</v>
      </c>
      <c r="AB44" s="2" t="str">
        <f>AB39</f>
        <v>4.0 </v>
      </c>
      <c r="AC44" s="2">
        <f>AC39</f>
        <v>4</v>
      </c>
    </row>
    <row r="45" spans="1:29">
      <c r="A45" t="s">
        <v>43</v>
      </c>
      <c r="B45" t="s">
        <v>29</v>
      </c>
      <c r="C45">
        <v>6</v>
      </c>
      <c r="D45" s="12" t="s">
        <v>58</v>
      </c>
      <c r="E45" s="12">
        <f>IF(ISBLANK(A45), "", VLOOKUP($B45, _xlfn.IFS($A45="Solid fuels", $Q$9:$X$28,$A45="Cars and light commercial vehicles (pre 2004)", $Q$44:$Y$48,$A45="Light duty vehicles",$Q$49:$Y$50,$A45="Heavy duty vehicles",$Q$51:$Y$58,$A45="Aviation",$Q$59:$Y$61,$A45="Vessel",$Q$63:$Y$65,TRUE,$Q$66:$Y$66),2,FALSE))</f>
        <v>26.3</v>
      </c>
      <c r="F45" s="12" t="str">
        <f>IF(ISBLANK(B45), "", VLOOKUP($B45, _xlfn.IFS($A45="Solid fuels", $Q$9:$X$28,$A45="Cars and light commercial vehicles (pre 2004)", $Q$44:$Y$48,$A45="Light duty vehicles",$Q$49:$Y$50,$A45="Heavy duty vehicles",$Q$51:$Y$58,$A45="Aviation",$Q$59:$Y$61,$A45="Vessel",$Q$63:$Y$65,TRUE,$Q$66:$Y$66),3,FALSE))</f>
        <v>GJ/t</v>
      </c>
      <c r="G45" s="12">
        <f>IF(ISBLANK(A45), "", VLOOKUP($B45, _xlfn.IFS($A45="Solid fuels", $Q$9:$X$28,$A45="Cars and light commercial vehicles (pre 2004)", $Q$44:$Y$48,$A45="Light duty vehicles",$Q$49:$Y$50,$A45="Heavy duty vehicles",$Q$51:$Y$58,$A45="Aviation",$Q$59:$Y$61,$A45="Vessel",$Q$63:$Y$65,TRUE,$Q$66:$Y$66),4,FALSE))</f>
        <v>81.599999999999994</v>
      </c>
      <c r="H45" s="12">
        <f>IF(ISBLANK(A45), "", VLOOKUP($B45, _xlfn.IFS($A45="Solid fuels", $Q$9:$X$28,$A45="Cars and light commercial vehicles (pre 2004)", $Q$44:$Y$48,$A45="Light duty vehicles",$Q$49:$Y$50,$A45="Heavy duty vehicles",$Q$51:$Y$58,$A45="Aviation",$Q$59:$Y$61,$A45="Vessel",$Q$63:$Y$65,TRUE,$Q$66:$Y$66),5,FALSE))</f>
        <v>0.03</v>
      </c>
      <c r="I45" s="12">
        <f>IF(ISBLANK(A45), "", VLOOKUP($B45, _xlfn.IFS($A45="Solid fuels", $Q$9:$X$28,$A45="Cars and light commercial vehicles (pre 2004)", $Q$44:$Y$48,$A45="Light duty vehicles",$Q$49:$Y$50,$A45="Heavy duty vehicles",$Q$51:$Y$58,$A45="Aviation",$Q$59:$Y$61,$A45="Vessel",$Q$63:$Y$65,TRUE,$Q$66:$Y$66),6,FALSE))</f>
        <v>0.2</v>
      </c>
      <c r="J45" s="12" t="str">
        <f>IF(ISBLANK(A45), "", VLOOKUP($B45, _xlfn.IFS($A45="Solid fuels", $Q$9:$X$28,$A45="Cars and light commercial vehicles (pre 2004)", $Q$44:$Y$48,$A45="Light duty vehicles",$Q$49:$Y$50,$A45="Heavy duty vehicles",$Q$51:$Y$58,$A45="Aviation",$Q$59:$Y$61,$A45="Vessel",$Q$63:$Y$65,TRUE,$Q$66:$Y$66),8,FALSE))</f>
        <v>NE</v>
      </c>
      <c r="K45" s="12">
        <f>C45*E45*G45/1000</f>
        <v>12.876479999999999</v>
      </c>
      <c r="L45" s="12">
        <f>C45*E45*H45/1000</f>
        <v>4.7340000000000004E-3</v>
      </c>
      <c r="M45" s="12">
        <f>C45*E45*I45/1000</f>
        <v>3.1560000000000005E-2</v>
      </c>
      <c r="N45" s="12" t="e">
        <f>C45*E45*J45/1000</f>
        <v>#VALUE!</v>
      </c>
      <c r="Q45" t="s">
        <v>85</v>
      </c>
      <c r="R45">
        <v>42.9</v>
      </c>
      <c r="S45" t="s">
        <v>56</v>
      </c>
      <c r="T45">
        <v>54.7</v>
      </c>
      <c r="U45">
        <v>0.03</v>
      </c>
      <c r="V45">
        <v>0.03</v>
      </c>
      <c r="W45">
        <v>54.76</v>
      </c>
      <c r="X45">
        <v>18</v>
      </c>
      <c r="Z45" s="10"/>
      <c r="AA45" s="2" t="s">
        <v>76</v>
      </c>
      <c r="AB45" s="2" t="str">
        <f>AB42</f>
        <v>4.1 </v>
      </c>
      <c r="AC45" s="2">
        <f>AC42</f>
        <v>4</v>
      </c>
    </row>
    <row r="46" spans="1:29">
      <c r="A46" t="s">
        <v>43</v>
      </c>
      <c r="B46" t="s">
        <v>30</v>
      </c>
      <c r="C46">
        <v>7</v>
      </c>
      <c r="D46" s="12" t="s">
        <v>58</v>
      </c>
      <c r="E46" s="12">
        <f>IF(ISBLANK(A46), "", VLOOKUP($B46, _xlfn.IFS($A46="Solid fuels", $Q$9:$X$28,$A46="Cars and light commercial vehicles (pre 2004)", $Q$44:$Y$48,$A46="Light duty vehicles",$Q$49:$Y$50,$A46="Heavy duty vehicles",$Q$51:$Y$58,$A46="Aviation",$Q$59:$Y$61,$A46="Vessel",$Q$63:$Y$65,TRUE,$Q$66:$Y$66),2,FALSE))</f>
        <v>32</v>
      </c>
      <c r="F46" s="12" t="str">
        <f>IF(ISBLANK(B46), "", VLOOKUP($B46, _xlfn.IFS($A46="Solid fuels", $Q$9:$X$28,$A46="Cars and light commercial vehicles (pre 2004)", $Q$44:$Y$48,$A46="Light duty vehicles",$Q$49:$Y$50,$A46="Heavy duty vehicles",$Q$51:$Y$58,$A46="Aviation",$Q$59:$Y$61,$A46="Vessel",$Q$63:$Y$65,TRUE,$Q$66:$Y$66),3,FALSE))</f>
        <v>GJ/t</v>
      </c>
      <c r="G46" s="12">
        <f>IF(ISBLANK(A46), "", VLOOKUP($B46, _xlfn.IFS($A46="Solid fuels", $Q$9:$X$28,$A46="Cars and light commercial vehicles (pre 2004)", $Q$44:$Y$48,$A46="Light duty vehicles",$Q$49:$Y$50,$A46="Heavy duty vehicles",$Q$51:$Y$58,$A46="Aviation",$Q$59:$Y$61,$A46="Vessel",$Q$63:$Y$65,TRUE,$Q$66:$Y$66),4,FALSE))</f>
        <v>62.8</v>
      </c>
      <c r="H46" s="12">
        <f>IF(ISBLANK(A46), "", VLOOKUP($B46, _xlfn.IFS($A46="Solid fuels", $Q$9:$X$28,$A46="Cars and light commercial vehicles (pre 2004)", $Q$44:$Y$48,$A46="Light duty vehicles",$Q$49:$Y$50,$A46="Heavy duty vehicles",$Q$51:$Y$58,$A46="Aviation",$Q$59:$Y$61,$A46="Vessel",$Q$63:$Y$65,TRUE,$Q$66:$Y$66),5,FALSE))</f>
        <v>0.03</v>
      </c>
      <c r="I46" s="12">
        <f>IF(ISBLANK(A46), "", VLOOKUP($B46, _xlfn.IFS($A46="Solid fuels", $Q$9:$X$28,$A46="Cars and light commercial vehicles (pre 2004)", $Q$44:$Y$48,$A46="Light duty vehicles",$Q$49:$Y$50,$A46="Heavy duty vehicles",$Q$51:$Y$58,$A46="Aviation",$Q$59:$Y$61,$A46="Vessel",$Q$63:$Y$65,TRUE,$Q$66:$Y$66),6,FALSE))</f>
        <v>0.2</v>
      </c>
      <c r="J46" s="12" t="str">
        <f>IF(ISBLANK(A46), "", VLOOKUP($B46, _xlfn.IFS($A46="Solid fuels", $Q$9:$X$28,$A46="Cars and light commercial vehicles (pre 2004)", $Q$44:$Y$48,$A46="Light duty vehicles",$Q$49:$Y$50,$A46="Heavy duty vehicles",$Q$51:$Y$58,$A46="Aviation",$Q$59:$Y$61,$A46="Vessel",$Q$63:$Y$65,TRUE,$Q$66:$Y$66),8,FALSE))</f>
        <v>NE</v>
      </c>
      <c r="K46" s="12">
        <f>C46*E46*G46/1000</f>
        <v>14.0672</v>
      </c>
      <c r="L46" s="12">
        <f>C46*E46*H46/1000</f>
        <v>6.7199999999999994E-3</v>
      </c>
      <c r="M46" s="12">
        <f>C46*E46*I46/1000</f>
        <v>4.4800000000000006E-2</v>
      </c>
      <c r="N46" s="12" t="e">
        <f>C46*E46*J46/1000</f>
        <v>#VALUE!</v>
      </c>
      <c r="Q46" t="s">
        <v>86</v>
      </c>
      <c r="R46" s="2">
        <v>34.200000000000003</v>
      </c>
      <c r="S46" s="2" t="s">
        <v>56</v>
      </c>
      <c r="T46">
        <v>92.6</v>
      </c>
      <c r="U46" s="2">
        <v>0.08</v>
      </c>
      <c r="V46">
        <v>0.2</v>
      </c>
      <c r="W46">
        <v>92.88</v>
      </c>
      <c r="X46">
        <v>18</v>
      </c>
      <c r="Z46" s="10"/>
      <c r="AA46" s="10"/>
    </row>
    <row r="47" spans="1:29">
      <c r="A47" t="s">
        <v>43</v>
      </c>
      <c r="B47" t="s">
        <v>31</v>
      </c>
      <c r="C47">
        <v>8</v>
      </c>
      <c r="D47" s="12" t="s">
        <v>58</v>
      </c>
      <c r="E47" s="12">
        <f>IF(ISBLANK(A47), "", VLOOKUP($B47, _xlfn.IFS($A47="Solid fuels", $Q$9:$X$28,$A47="Cars and light commercial vehicles (pre 2004)", $Q$44:$Y$48,$A47="Light duty vehicles",$Q$49:$Y$50,$A47="Heavy duty vehicles",$Q$51:$Y$58,$A47="Aviation",$Q$59:$Y$61,$A47="Vessel",$Q$63:$Y$65,TRUE,$Q$66:$Y$66),2,FALSE))</f>
        <v>27.1</v>
      </c>
      <c r="F47" s="12" t="str">
        <f>IF(ISBLANK(B47), "", VLOOKUP($B47, _xlfn.IFS($A47="Solid fuels", $Q$9:$X$28,$A47="Cars and light commercial vehicles (pre 2004)", $Q$44:$Y$48,$A47="Light duty vehicles",$Q$49:$Y$50,$A47="Heavy duty vehicles",$Q$51:$Y$58,$A47="Aviation",$Q$59:$Y$61,$A47="Vessel",$Q$63:$Y$65,TRUE,$Q$66:$Y$66),3,FALSE))</f>
        <v>GJ/t</v>
      </c>
      <c r="G47" s="12">
        <f>IF(ISBLANK(A47), "", VLOOKUP($B47, _xlfn.IFS($A47="Solid fuels", $Q$9:$X$28,$A47="Cars and light commercial vehicles (pre 2004)", $Q$44:$Y$48,$A47="Light duty vehicles",$Q$49:$Y$50,$A47="Heavy duty vehicles",$Q$51:$Y$58,$A47="Aviation",$Q$59:$Y$61,$A47="Vessel",$Q$63:$Y$65,TRUE,$Q$66:$Y$66),4,FALSE))</f>
        <v>55.9</v>
      </c>
      <c r="H47" s="12">
        <f>IF(ISBLANK(A47), "", VLOOKUP($B47, _xlfn.IFS($A47="Solid fuels", $Q$9:$X$28,$A47="Cars and light commercial vehicles (pre 2004)", $Q$44:$Y$48,$A47="Light duty vehicles",$Q$49:$Y$50,$A47="Heavy duty vehicles",$Q$51:$Y$58,$A47="Aviation",$Q$59:$Y$61,$A47="Vessel",$Q$63:$Y$65,TRUE,$Q$66:$Y$66),5,FALSE))</f>
        <v>0.03</v>
      </c>
      <c r="I47" s="12">
        <f>IF(ISBLANK(A47), "", VLOOKUP($B47, _xlfn.IFS($A47="Solid fuels", $Q$9:$X$28,$A47="Cars and light commercial vehicles (pre 2004)", $Q$44:$Y$48,$A47="Light duty vehicles",$Q$49:$Y$50,$A47="Heavy duty vehicles",$Q$51:$Y$58,$A47="Aviation",$Q$59:$Y$61,$A47="Vessel",$Q$63:$Y$65,TRUE,$Q$66:$Y$66),6,FALSE))</f>
        <v>0.2</v>
      </c>
      <c r="J47" s="12" t="str">
        <f>IF(ISBLANK(A47), "", VLOOKUP($B47, _xlfn.IFS($A47="Solid fuels", $Q$9:$X$28,$A47="Cars and light commercial vehicles (pre 2004)", $Q$44:$Y$48,$A47="Light duty vehicles",$Q$49:$Y$50,$A47="Heavy duty vehicles",$Q$51:$Y$58,$A47="Aviation",$Q$59:$Y$61,$A47="Vessel",$Q$63:$Y$65,TRUE,$Q$66:$Y$66),8,FALSE))</f>
        <v>NE</v>
      </c>
      <c r="K47" s="12">
        <f>C47*E47*G47/1000</f>
        <v>12.119120000000001</v>
      </c>
      <c r="L47" s="12">
        <f>C47*E47*H47/1000</f>
        <v>6.5040000000000002E-3</v>
      </c>
      <c r="M47" s="12">
        <f>C47*E47*I47/1000</f>
        <v>4.336000000000001E-2</v>
      </c>
      <c r="N47" s="12" t="e">
        <f>C47*E47*J47/1000</f>
        <v>#VALUE!</v>
      </c>
      <c r="Q47" t="s">
        <v>87</v>
      </c>
      <c r="R47" s="2">
        <v>34.4</v>
      </c>
      <c r="S47" s="2" t="s">
        <v>15</v>
      </c>
      <c r="T47">
        <v>69.8</v>
      </c>
      <c r="U47" s="2">
        <v>0.02</v>
      </c>
      <c r="V47">
        <v>0.1</v>
      </c>
      <c r="W47">
        <v>69.92</v>
      </c>
      <c r="X47" s="7">
        <v>18</v>
      </c>
      <c r="Z47" s="10"/>
      <c r="AA47" s="10"/>
    </row>
    <row r="48" spans="1:29">
      <c r="A48" t="s">
        <v>43</v>
      </c>
      <c r="B48" t="s">
        <v>32</v>
      </c>
      <c r="C48">
        <v>7</v>
      </c>
      <c r="D48" s="12" t="s">
        <v>58</v>
      </c>
      <c r="E48" s="12">
        <f>IF(ISBLANK(A48), "", VLOOKUP($B48, _xlfn.IFS($A48="Solid fuels", $Q$9:$X$28,$A48="Cars and light commercial vehicles (pre 2004)", $Q$44:$Y$48,$A48="Light duty vehicles",$Q$49:$Y$50,$A48="Heavy duty vehicles",$Q$51:$Y$58,$A48="Aviation",$Q$59:$Y$61,$A48="Vessel",$Q$63:$Y$65,TRUE,$Q$66:$Y$66),2,FALSE))</f>
        <v>10.5</v>
      </c>
      <c r="F48" s="12" t="str">
        <f>IF(ISBLANK(B48), "", VLOOKUP($B48, _xlfn.IFS($A48="Solid fuels", $Q$9:$X$28,$A48="Cars and light commercial vehicles (pre 2004)", $Q$44:$Y$48,$A48="Light duty vehicles",$Q$49:$Y$50,$A48="Heavy duty vehicles",$Q$51:$Y$58,$A48="Aviation",$Q$59:$Y$61,$A48="Vessel",$Q$63:$Y$65,TRUE,$Q$66:$Y$66),3,FALSE))</f>
        <v>GJ/t</v>
      </c>
      <c r="G48" s="12">
        <f>IF(ISBLANK(A48), "", VLOOKUP($B48, _xlfn.IFS($A48="Solid fuels", $Q$9:$X$28,$A48="Cars and light commercial vehicles (pre 2004)", $Q$44:$Y$48,$A48="Light duty vehicles",$Q$49:$Y$50,$A48="Heavy duty vehicles",$Q$51:$Y$58,$A48="Aviation",$Q$59:$Y$61,$A48="Vessel",$Q$63:$Y$65,TRUE,$Q$66:$Y$66),4,FALSE))</f>
        <v>87.1</v>
      </c>
      <c r="H48" s="12">
        <f>IF(ISBLANK(A48), "", VLOOKUP($B48, _xlfn.IFS($A48="Solid fuels", $Q$9:$X$28,$A48="Cars and light commercial vehicles (pre 2004)", $Q$44:$Y$48,$A48="Light duty vehicles",$Q$49:$Y$50,$A48="Heavy duty vehicles",$Q$51:$Y$58,$A48="Aviation",$Q$59:$Y$61,$A48="Vessel",$Q$63:$Y$65,TRUE,$Q$66:$Y$66),5,FALSE))</f>
        <v>0.8</v>
      </c>
      <c r="I48" s="12">
        <f>IF(ISBLANK(A48), "", VLOOKUP($B48, _xlfn.IFS($A48="Solid fuels", $Q$9:$X$28,$A48="Cars and light commercial vehicles (pre 2004)", $Q$44:$Y$48,$A48="Light duty vehicles",$Q$49:$Y$50,$A48="Heavy duty vehicles",$Q$51:$Y$58,$A48="Aviation",$Q$59:$Y$61,$A48="Vessel",$Q$63:$Y$65,TRUE,$Q$66:$Y$66),6,FALSE))</f>
        <v>1</v>
      </c>
      <c r="J48" s="12" t="str">
        <f>IF(ISBLANK(A48), "", VLOOKUP($B48, _xlfn.IFS($A48="Solid fuels", $Q$9:$X$28,$A48="Cars and light commercial vehicles (pre 2004)", $Q$44:$Y$48,$A48="Light duty vehicles",$Q$49:$Y$50,$A48="Heavy duty vehicles",$Q$51:$Y$58,$A48="Aviation",$Q$59:$Y$61,$A48="Vessel",$Q$63:$Y$65,TRUE,$Q$66:$Y$66),8,FALSE))</f>
        <v>NE</v>
      </c>
      <c r="K48" s="12">
        <f>C48*E48*G48/1000</f>
        <v>6.4018499999999996</v>
      </c>
      <c r="L48" s="12">
        <f>C48*E48*H48/1000</f>
        <v>5.8800000000000005E-2</v>
      </c>
      <c r="M48" s="12">
        <f>C48*E48*I48/1000</f>
        <v>7.3499999999999996E-2</v>
      </c>
      <c r="N48" s="12" t="e">
        <f>C48*E48*J48/1000</f>
        <v>#VALUE!</v>
      </c>
      <c r="Q48" t="s">
        <v>88</v>
      </c>
      <c r="R48" s="2">
        <v>34.6</v>
      </c>
      <c r="S48" s="2" t="s">
        <v>15</v>
      </c>
      <c r="T48">
        <v>0</v>
      </c>
      <c r="U48" s="11">
        <v>0.08</v>
      </c>
      <c r="V48" s="10">
        <v>0.2</v>
      </c>
      <c r="W48" s="10">
        <v>0.28000000000000003</v>
      </c>
      <c r="X48" s="10" t="s">
        <v>79</v>
      </c>
      <c r="Y48" s="10"/>
      <c r="Z48" s="10"/>
      <c r="AA48" s="10"/>
    </row>
    <row r="49" spans="1:27">
      <c r="A49" t="s">
        <v>43</v>
      </c>
      <c r="B49" t="s">
        <v>33</v>
      </c>
      <c r="C49">
        <v>8</v>
      </c>
      <c r="D49" s="12" t="s">
        <v>58</v>
      </c>
      <c r="E49" s="12">
        <f>IF(ISBLANK(A49), "", VLOOKUP($B49, _xlfn.IFS($A49="Solid fuels", $Q$9:$X$28,$A49="Cars and light commercial vehicles (pre 2004)", $Q$44:$Y$48,$A49="Light duty vehicles",$Q$49:$Y$50,$A49="Heavy duty vehicles",$Q$51:$Y$58,$A49="Aviation",$Q$59:$Y$61,$A49="Vessel",$Q$63:$Y$65,TRUE,$Q$66:$Y$66),2,FALSE))</f>
        <v>16.2</v>
      </c>
      <c r="F49" s="12" t="str">
        <f>IF(ISBLANK(B49), "", VLOOKUP($B49, _xlfn.IFS($A49="Solid fuels", $Q$9:$X$28,$A49="Cars and light commercial vehicles (pre 2004)", $Q$44:$Y$48,$A49="Light duty vehicles",$Q$49:$Y$50,$A49="Heavy duty vehicles",$Q$51:$Y$58,$A49="Aviation",$Q$59:$Y$61,$A49="Vessel",$Q$63:$Y$65,TRUE,$Q$66:$Y$66),3,FALSE))</f>
        <v>GJ/t</v>
      </c>
      <c r="G49" s="12">
        <f>IF(ISBLANK(A49), "", VLOOKUP($B49, _xlfn.IFS($A49="Solid fuels", $Q$9:$X$28,$A49="Cars and light commercial vehicles (pre 2004)", $Q$44:$Y$48,$A49="Light duty vehicles",$Q$49:$Y$50,$A49="Heavy duty vehicles",$Q$51:$Y$58,$A49="Aviation",$Q$59:$Y$61,$A49="Vessel",$Q$63:$Y$65,TRUE,$Q$66:$Y$66),4,FALSE))</f>
        <v>0</v>
      </c>
      <c r="H49" s="12">
        <f>IF(ISBLANK(A49), "", VLOOKUP($B49, _xlfn.IFS($A49="Solid fuels", $Q$9:$X$28,$A49="Cars and light commercial vehicles (pre 2004)", $Q$44:$Y$48,$A49="Light duty vehicles",$Q$49:$Y$50,$A49="Heavy duty vehicles",$Q$51:$Y$58,$A49="Aviation",$Q$59:$Y$61,$A49="Vessel",$Q$63:$Y$65,TRUE,$Q$66:$Y$66),5,FALSE))</f>
        <v>0.1</v>
      </c>
      <c r="I49" s="12">
        <f>IF(ISBLANK(A49), "", VLOOKUP($B49, _xlfn.IFS($A49="Solid fuels", $Q$9:$X$28,$A49="Cars and light commercial vehicles (pre 2004)", $Q$44:$Y$48,$A49="Light duty vehicles",$Q$49:$Y$50,$A49="Heavy duty vehicles",$Q$51:$Y$58,$A49="Aviation",$Q$59:$Y$61,$A49="Vessel",$Q$63:$Y$65,TRUE,$Q$66:$Y$66),6,FALSE))</f>
        <v>1.1000000000000001</v>
      </c>
      <c r="J49" s="12" t="str">
        <f>IF(ISBLANK(A49), "", VLOOKUP($B49, _xlfn.IFS($A49="Solid fuels", $Q$9:$X$28,$A49="Cars and light commercial vehicles (pre 2004)", $Q$44:$Y$48,$A49="Light duty vehicles",$Q$49:$Y$50,$A49="Heavy duty vehicles",$Q$51:$Y$58,$A49="Aviation",$Q$59:$Y$61,$A49="Vessel",$Q$63:$Y$65,TRUE,$Q$66:$Y$66),8,FALSE))</f>
        <v>NE</v>
      </c>
      <c r="K49" s="12">
        <f>C49*E49*G49/1000</f>
        <v>0</v>
      </c>
      <c r="L49" s="12">
        <f>C49*E49*H49/1000</f>
        <v>1.2960000000000001E-2</v>
      </c>
      <c r="M49" s="12">
        <f>C49*E49*I49/1000</f>
        <v>0.14255999999999999</v>
      </c>
      <c r="N49" s="12" t="e">
        <f>C49*E49*J49/1000</f>
        <v>#VALUE!</v>
      </c>
      <c r="Q49" t="s">
        <v>89</v>
      </c>
      <c r="R49" s="2">
        <v>23.4</v>
      </c>
      <c r="S49" s="2" t="s">
        <v>15</v>
      </c>
      <c r="T49">
        <v>0</v>
      </c>
      <c r="U49" s="11">
        <v>0.08</v>
      </c>
      <c r="V49" s="10">
        <v>0.2</v>
      </c>
      <c r="W49" s="10">
        <v>0.28000000000000003</v>
      </c>
      <c r="X49" s="10" t="s">
        <v>79</v>
      </c>
      <c r="Y49" s="10"/>
      <c r="Z49" s="10"/>
      <c r="AA49" s="10"/>
    </row>
    <row r="50" spans="1:27">
      <c r="A50" t="s">
        <v>43</v>
      </c>
      <c r="B50" t="s">
        <v>34</v>
      </c>
      <c r="C50">
        <v>9</v>
      </c>
      <c r="D50" s="12" t="s">
        <v>58</v>
      </c>
      <c r="E50" s="12">
        <f>IF(ISBLANK(A50), "", VLOOKUP($B50, _xlfn.IFS($A50="Solid fuels", $Q$9:$X$28,$A50="Cars and light commercial vehicles (pre 2004)", $Q$44:$Y$48,$A50="Light duty vehicles",$Q$49:$Y$50,$A50="Heavy duty vehicles",$Q$51:$Y$58,$A50="Aviation",$Q$59:$Y$61,$A50="Vessel",$Q$63:$Y$65,TRUE,$Q$66:$Y$66),2,FALSE))</f>
        <v>10.4</v>
      </c>
      <c r="F50" s="12" t="str">
        <f>IF(ISBLANK(B50), "", VLOOKUP($B50, _xlfn.IFS($A50="Solid fuels", $Q$9:$X$28,$A50="Cars and light commercial vehicles (pre 2004)", $Q$44:$Y$48,$A50="Light duty vehicles",$Q$49:$Y$50,$A50="Heavy duty vehicles",$Q$51:$Y$58,$A50="Aviation",$Q$59:$Y$61,$A50="Vessel",$Q$63:$Y$65,TRUE,$Q$66:$Y$66),3,FALSE))</f>
        <v>GJ/t</v>
      </c>
      <c r="G50" s="12">
        <f>IF(ISBLANK(A50), "", VLOOKUP($B50, _xlfn.IFS($A50="Solid fuels", $Q$9:$X$28,$A50="Cars and light commercial vehicles (pre 2004)", $Q$44:$Y$48,$A50="Light duty vehicles",$Q$49:$Y$50,$A50="Heavy duty vehicles",$Q$51:$Y$58,$A50="Aviation",$Q$59:$Y$61,$A50="Vessel",$Q$63:$Y$65,TRUE,$Q$66:$Y$66),4,FALSE))</f>
        <v>0</v>
      </c>
      <c r="H50" s="12">
        <f>IF(ISBLANK(A50), "", VLOOKUP($B50, _xlfn.IFS($A50="Solid fuels", $Q$9:$X$28,$A50="Cars and light commercial vehicles (pre 2004)", $Q$44:$Y$48,$A50="Light duty vehicles",$Q$49:$Y$50,$A50="Heavy duty vehicles",$Q$51:$Y$58,$A50="Aviation",$Q$59:$Y$61,$A50="Vessel",$Q$63:$Y$65,TRUE,$Q$66:$Y$66),5,FALSE))</f>
        <v>0.1</v>
      </c>
      <c r="I50" s="12">
        <f>IF(ISBLANK(A50), "", VLOOKUP($B50, _xlfn.IFS($A50="Solid fuels", $Q$9:$X$28,$A50="Cars and light commercial vehicles (pre 2004)", $Q$44:$Y$48,$A50="Light duty vehicles",$Q$49:$Y$50,$A50="Heavy duty vehicles",$Q$51:$Y$58,$A50="Aviation",$Q$59:$Y$61,$A50="Vessel",$Q$63:$Y$65,TRUE,$Q$66:$Y$66),6,FALSE))</f>
        <v>1.1000000000000001</v>
      </c>
      <c r="J50" s="12" t="str">
        <f>IF(ISBLANK(A50), "", VLOOKUP($B50, _xlfn.IFS($A50="Solid fuels", $Q$9:$X$28,$A50="Cars and light commercial vehicles (pre 2004)", $Q$44:$Y$48,$A50="Light duty vehicles",$Q$49:$Y$50,$A50="Heavy duty vehicles",$Q$51:$Y$58,$A50="Aviation",$Q$59:$Y$61,$A50="Vessel",$Q$63:$Y$65,TRUE,$Q$66:$Y$66),8,FALSE))</f>
        <v>NE</v>
      </c>
      <c r="K50" s="12">
        <f>C50*E50*G50/1000</f>
        <v>0</v>
      </c>
      <c r="L50" s="12">
        <f>C50*E50*H50/1000</f>
        <v>9.360000000000002E-3</v>
      </c>
      <c r="M50" s="12">
        <f>C50*E50*I50/1000</f>
        <v>0.10296000000000002</v>
      </c>
      <c r="N50" s="12" t="e">
        <f>C50*E50*J50/1000</f>
        <v>#VALUE!</v>
      </c>
      <c r="Q50" t="s">
        <v>90</v>
      </c>
      <c r="R50" s="2">
        <v>23.4</v>
      </c>
      <c r="S50" s="2" t="s">
        <v>15</v>
      </c>
      <c r="T50">
        <v>0</v>
      </c>
      <c r="U50" s="11">
        <v>0.08</v>
      </c>
      <c r="V50" s="10">
        <v>0.2</v>
      </c>
      <c r="W50" s="10">
        <v>0.28000000000000003</v>
      </c>
      <c r="X50" s="10" t="s">
        <v>79</v>
      </c>
      <c r="Y50" s="10"/>
      <c r="Z50" s="10"/>
      <c r="AA50" s="10"/>
    </row>
    <row r="51" spans="1:27">
      <c r="A51" t="s">
        <v>43</v>
      </c>
      <c r="B51" t="s">
        <v>35</v>
      </c>
      <c r="C51">
        <v>10</v>
      </c>
      <c r="D51" s="12" t="s">
        <v>58</v>
      </c>
      <c r="E51" s="12">
        <f>IF(ISBLANK(A51), "", VLOOKUP($B51, _xlfn.IFS($A51="Solid fuels", $Q$9:$X$28,$A51="Cars and light commercial vehicles (pre 2004)", $Q$44:$Y$48,$A51="Light duty vehicles",$Q$49:$Y$50,$A51="Heavy duty vehicles",$Q$51:$Y$58,$A51="Aviation",$Q$59:$Y$61,$A51="Vessel",$Q$63:$Y$65,TRUE,$Q$66:$Y$66),2,FALSE))</f>
        <v>12.4</v>
      </c>
      <c r="F51" s="12" t="str">
        <f>IF(ISBLANK(B51), "", VLOOKUP($B51, _xlfn.IFS($A51="Solid fuels", $Q$9:$X$28,$A51="Cars and light commercial vehicles (pre 2004)", $Q$44:$Y$48,$A51="Light duty vehicles",$Q$49:$Y$50,$A51="Heavy duty vehicles",$Q$51:$Y$58,$A51="Aviation",$Q$59:$Y$61,$A51="Vessel",$Q$63:$Y$65,TRUE,$Q$66:$Y$66),3,FALSE))</f>
        <v>GJ/t</v>
      </c>
      <c r="G51" s="12">
        <f>IF(ISBLANK(A51), "", VLOOKUP($B51, _xlfn.IFS($A51="Solid fuels", $Q$9:$X$28,$A51="Cars and light commercial vehicles (pre 2004)", $Q$44:$Y$48,$A51="Light duty vehicles",$Q$49:$Y$50,$A51="Heavy duty vehicles",$Q$51:$Y$58,$A51="Aviation",$Q$59:$Y$61,$A51="Vessel",$Q$63:$Y$65,TRUE,$Q$66:$Y$66),4,FALSE))</f>
        <v>0</v>
      </c>
      <c r="H51" s="12">
        <f>IF(ISBLANK(A51), "", VLOOKUP($B51, _xlfn.IFS($A51="Solid fuels", $Q$9:$X$28,$A51="Cars and light commercial vehicles (pre 2004)", $Q$44:$Y$48,$A51="Light duty vehicles",$Q$49:$Y$50,$A51="Heavy duty vehicles",$Q$51:$Y$58,$A51="Aviation",$Q$59:$Y$61,$A51="Vessel",$Q$63:$Y$65,TRUE,$Q$66:$Y$66),5,FALSE))</f>
        <v>0.08</v>
      </c>
      <c r="I51" s="12">
        <f>IF(ISBLANK(A51), "", VLOOKUP($B51, _xlfn.IFS($A51="Solid fuels", $Q$9:$X$28,$A51="Cars and light commercial vehicles (pre 2004)", $Q$44:$Y$48,$A51="Light duty vehicles",$Q$49:$Y$50,$A51="Heavy duty vehicles",$Q$51:$Y$58,$A51="Aviation",$Q$59:$Y$61,$A51="Vessel",$Q$63:$Y$65,TRUE,$Q$66:$Y$66),6,FALSE))</f>
        <v>0.5</v>
      </c>
      <c r="J51" s="12" t="str">
        <f>IF(ISBLANK(A51), "", VLOOKUP($B51, _xlfn.IFS($A51="Solid fuels", $Q$9:$X$28,$A51="Cars and light commercial vehicles (pre 2004)", $Q$44:$Y$48,$A51="Light duty vehicles",$Q$49:$Y$50,$A51="Heavy duty vehicles",$Q$51:$Y$58,$A51="Aviation",$Q$59:$Y$61,$A51="Vessel",$Q$63:$Y$65,TRUE,$Q$66:$Y$66),8,FALSE))</f>
        <v>NE</v>
      </c>
      <c r="K51" s="12">
        <f>C51*E51*G51/1000</f>
        <v>0</v>
      </c>
      <c r="L51" s="12">
        <f>C51*E51*H51/1000</f>
        <v>9.92E-3</v>
      </c>
      <c r="M51" s="12">
        <f>C51*E51*I51/1000</f>
        <v>6.2E-2</v>
      </c>
      <c r="N51" s="12" t="e">
        <f>C51*E51*J51/1000</f>
        <v>#VALUE!</v>
      </c>
      <c r="Q51" t="s">
        <v>91</v>
      </c>
      <c r="R51" s="2">
        <v>36.799999999999997</v>
      </c>
      <c r="S51" s="2" t="s">
        <v>15</v>
      </c>
      <c r="T51">
        <v>0</v>
      </c>
      <c r="U51" s="11">
        <v>0.02</v>
      </c>
      <c r="V51" s="10">
        <v>0.2</v>
      </c>
      <c r="W51" s="10">
        <v>0.22</v>
      </c>
      <c r="X51" s="10" t="s">
        <v>79</v>
      </c>
      <c r="Y51" s="10"/>
      <c r="Z51" s="10"/>
      <c r="AA51" s="10"/>
    </row>
    <row r="52" spans="1:27">
      <c r="A52" t="s">
        <v>43</v>
      </c>
      <c r="B52" t="s">
        <v>36</v>
      </c>
      <c r="C52">
        <v>11</v>
      </c>
      <c r="D52" s="12" t="s">
        <v>58</v>
      </c>
      <c r="E52" s="12">
        <f>IF(ISBLANK(A52), "", VLOOKUP($B52, _xlfn.IFS($A52="Solid fuels", $Q$9:$X$28,$A52="Cars and light commercial vehicles (pre 2004)", $Q$44:$Y$48,$A52="Light duty vehicles",$Q$49:$Y$50,$A52="Heavy duty vehicles",$Q$51:$Y$58,$A52="Aviation",$Q$59:$Y$61,$A52="Vessel",$Q$63:$Y$65,TRUE,$Q$66:$Y$66),2,FALSE))</f>
        <v>9.6</v>
      </c>
      <c r="F52" s="12" t="str">
        <f>IF(ISBLANK(B52), "", VLOOKUP($B52, _xlfn.IFS($A52="Solid fuels", $Q$9:$X$28,$A52="Cars and light commercial vehicles (pre 2004)", $Q$44:$Y$48,$A52="Light duty vehicles",$Q$49:$Y$50,$A52="Heavy duty vehicles",$Q$51:$Y$58,$A52="Aviation",$Q$59:$Y$61,$A52="Vessel",$Q$63:$Y$65,TRUE,$Q$66:$Y$66),3,FALSE))</f>
        <v>GJ/t</v>
      </c>
      <c r="G52" s="12">
        <f>IF(ISBLANK(A52), "", VLOOKUP($B52, _xlfn.IFS($A52="Solid fuels", $Q$9:$X$28,$A52="Cars and light commercial vehicles (pre 2004)", $Q$44:$Y$48,$A52="Light duty vehicles",$Q$49:$Y$50,$A52="Heavy duty vehicles",$Q$51:$Y$58,$A52="Aviation",$Q$59:$Y$61,$A52="Vessel",$Q$63:$Y$65,TRUE,$Q$66:$Y$66),4,FALSE))</f>
        <v>0</v>
      </c>
      <c r="H52" s="12">
        <f>IF(ISBLANK(A52), "", VLOOKUP($B52, _xlfn.IFS($A52="Solid fuels", $Q$9:$X$28,$A52="Cars and light commercial vehicles (pre 2004)", $Q$44:$Y$48,$A52="Light duty vehicles",$Q$49:$Y$50,$A52="Heavy duty vehicles",$Q$51:$Y$58,$A52="Aviation",$Q$59:$Y$61,$A52="Vessel",$Q$63:$Y$65,TRUE,$Q$66:$Y$66),5,FALSE))</f>
        <v>0.3</v>
      </c>
      <c r="I52" s="12">
        <f>IF(ISBLANK(A52), "", VLOOKUP($B52, _xlfn.IFS($A52="Solid fuels", $Q$9:$X$28,$A52="Cars and light commercial vehicles (pre 2004)", $Q$44:$Y$48,$A52="Light duty vehicles",$Q$49:$Y$50,$A52="Heavy duty vehicles",$Q$51:$Y$58,$A52="Aviation",$Q$59:$Y$61,$A52="Vessel",$Q$63:$Y$65,TRUE,$Q$66:$Y$66),6,FALSE))</f>
        <v>1.1000000000000001</v>
      </c>
      <c r="J52" s="12" t="str">
        <f>IF(ISBLANK(A52), "", VLOOKUP($B52, _xlfn.IFS($A52="Solid fuels", $Q$9:$X$28,$A52="Cars and light commercial vehicles (pre 2004)", $Q$44:$Y$48,$A52="Light duty vehicles",$Q$49:$Y$50,$A52="Heavy duty vehicles",$Q$51:$Y$58,$A52="Aviation",$Q$59:$Y$61,$A52="Vessel",$Q$63:$Y$65,TRUE,$Q$66:$Y$66),8,FALSE))</f>
        <v>NE</v>
      </c>
      <c r="K52" s="12">
        <f>C52*E52*G52/1000</f>
        <v>0</v>
      </c>
      <c r="L52" s="12">
        <f>C52*E52*H52/1000</f>
        <v>3.1679999999999993E-2</v>
      </c>
      <c r="M52" s="12">
        <f>C52*E52*I52/1000</f>
        <v>0.11616</v>
      </c>
      <c r="N52" s="12" t="e">
        <f>C52*E52*J52/1000</f>
        <v>#VALUE!</v>
      </c>
      <c r="Q52" t="s">
        <v>92</v>
      </c>
      <c r="R52">
        <v>38.6</v>
      </c>
      <c r="S52" t="s">
        <v>15</v>
      </c>
      <c r="T52">
        <v>0</v>
      </c>
      <c r="U52">
        <v>0.1</v>
      </c>
      <c r="V52">
        <v>0.2</v>
      </c>
      <c r="W52" s="10">
        <v>0.3</v>
      </c>
      <c r="X52" s="10" t="s">
        <v>79</v>
      </c>
      <c r="Y52" s="10"/>
      <c r="Z52" s="10"/>
      <c r="AA52" s="10"/>
    </row>
    <row r="53" spans="1:27">
      <c r="A53" t="s">
        <v>43</v>
      </c>
      <c r="B53" t="s">
        <v>39</v>
      </c>
      <c r="C53">
        <v>12</v>
      </c>
      <c r="D53" s="12" t="s">
        <v>58</v>
      </c>
      <c r="E53" s="12">
        <f>IF(ISBLANK(A53), "", VLOOKUP($B53, _xlfn.IFS($A53="Solid fuels", $Q$9:$X$28,$A53="Cars and light commercial vehicles (pre 2004)", $Q$44:$Y$48,$A53="Light duty vehicles",$Q$49:$Y$50,$A53="Heavy duty vehicles",$Q$51:$Y$58,$A53="Aviation",$Q$59:$Y$61,$A53="Vessel",$Q$63:$Y$65,TRUE,$Q$66:$Y$66),2,FALSE))</f>
        <v>12.2</v>
      </c>
      <c r="F53" s="12" t="str">
        <f>IF(ISBLANK(B53), "", VLOOKUP($B53, _xlfn.IFS($A53="Solid fuels", $Q$9:$X$28,$A53="Cars and light commercial vehicles (pre 2004)", $Q$44:$Y$48,$A53="Light duty vehicles",$Q$49:$Y$50,$A53="Heavy duty vehicles",$Q$51:$Y$58,$A53="Aviation",$Q$59:$Y$61,$A53="Vessel",$Q$63:$Y$65,TRUE,$Q$66:$Y$66),3,FALSE))</f>
        <v>GJ/t</v>
      </c>
      <c r="G53" s="12">
        <f>IF(ISBLANK(A53), "", VLOOKUP($B53, _xlfn.IFS($A53="Solid fuels", $Q$9:$X$28,$A53="Cars and light commercial vehicles (pre 2004)", $Q$44:$Y$48,$A53="Light duty vehicles",$Q$49:$Y$50,$A53="Heavy duty vehicles",$Q$51:$Y$58,$A53="Aviation",$Q$59:$Y$61,$A53="Vessel",$Q$63:$Y$65,TRUE,$Q$66:$Y$66),4,FALSE))</f>
        <v>0</v>
      </c>
      <c r="H53" s="12">
        <f>IF(ISBLANK(A53), "", VLOOKUP($B53, _xlfn.IFS($A53="Solid fuels", $Q$9:$X$28,$A53="Cars and light commercial vehicles (pre 2004)", $Q$44:$Y$48,$A53="Light duty vehicles",$Q$49:$Y$50,$A53="Heavy duty vehicles",$Q$51:$Y$58,$A53="Aviation",$Q$59:$Y$61,$A53="Vessel",$Q$63:$Y$65,TRUE,$Q$66:$Y$66),5,FALSE))</f>
        <v>0.8</v>
      </c>
      <c r="I53" s="12">
        <f>IF(ISBLANK(A53), "", VLOOKUP($B53, _xlfn.IFS($A53="Solid fuels", $Q$9:$X$28,$A53="Cars and light commercial vehicles (pre 2004)", $Q$44:$Y$48,$A53="Light duty vehicles",$Q$49:$Y$50,$A53="Heavy duty vehicles",$Q$51:$Y$58,$A53="Aviation",$Q$59:$Y$61,$A53="Vessel",$Q$63:$Y$65,TRUE,$Q$66:$Y$66),6,FALSE))</f>
        <v>1</v>
      </c>
      <c r="J53" s="12" t="str">
        <f>IF(ISBLANK(A53), "", VLOOKUP($B53, _xlfn.IFS($A53="Solid fuels", $Q$9:$X$28,$A53="Cars and light commercial vehicles (pre 2004)", $Q$44:$Y$48,$A53="Light duty vehicles",$Q$49:$Y$50,$A53="Heavy duty vehicles",$Q$51:$Y$58,$A53="Aviation",$Q$59:$Y$61,$A53="Vessel",$Q$63:$Y$65,TRUE,$Q$66:$Y$66),8,FALSE))</f>
        <v>NE</v>
      </c>
      <c r="K53" s="12">
        <f>C53*E53*G53/1000</f>
        <v>0</v>
      </c>
      <c r="L53" s="12">
        <f>C53*E53*H53/1000</f>
        <v>0.11711999999999999</v>
      </c>
      <c r="M53" s="12">
        <f>C53*E53*I53/1000</f>
        <v>0.14639999999999997</v>
      </c>
      <c r="N53" s="12" t="e">
        <f>C53*E53*J53/1000</f>
        <v>#VALUE!</v>
      </c>
      <c r="P53" t="s">
        <v>59</v>
      </c>
      <c r="Q53" t="s">
        <v>60</v>
      </c>
      <c r="R53" s="2">
        <v>25.3</v>
      </c>
      <c r="S53" s="2" t="s">
        <v>15</v>
      </c>
      <c r="T53">
        <v>51.4</v>
      </c>
      <c r="U53" s="2">
        <v>0.1</v>
      </c>
      <c r="V53" s="2">
        <v>0.03</v>
      </c>
      <c r="W53" s="10"/>
      <c r="X53" s="10"/>
      <c r="Y53" s="10"/>
      <c r="Z53" s="10"/>
      <c r="AA53" s="10"/>
    </row>
    <row r="54" spans="1:27">
      <c r="A54" t="s">
        <v>43</v>
      </c>
      <c r="B54" t="s">
        <v>37</v>
      </c>
      <c r="C54">
        <v>13</v>
      </c>
      <c r="D54" s="12" t="s">
        <v>58</v>
      </c>
      <c r="E54" s="12">
        <f>IF(ISBLANK(A54), "", VLOOKUP($B54, _xlfn.IFS($A54="Solid fuels", $Q$9:$X$28,$A54="Cars and light commercial vehicles (pre 2004)", $Q$44:$Y$48,$A54="Light duty vehicles",$Q$49:$Y$50,$A54="Heavy duty vehicles",$Q$51:$Y$58,$A54="Aviation",$Q$59:$Y$61,$A54="Vessel",$Q$63:$Y$65,TRUE,$Q$66:$Y$66),2,FALSE))</f>
        <v>31.1</v>
      </c>
      <c r="F54" s="12" t="str">
        <f>IF(ISBLANK(B54), "", VLOOKUP($B54, _xlfn.IFS($A54="Solid fuels", $Q$9:$X$28,$A54="Cars and light commercial vehicles (pre 2004)", $Q$44:$Y$48,$A54="Light duty vehicles",$Q$49:$Y$50,$A54="Heavy duty vehicles",$Q$51:$Y$58,$A54="Aviation",$Q$59:$Y$61,$A54="Vessel",$Q$63:$Y$65,TRUE,$Q$66:$Y$66),3,FALSE))</f>
        <v>GJ/t</v>
      </c>
      <c r="G54" s="12">
        <f>IF(ISBLANK(A54), "", VLOOKUP($B54, _xlfn.IFS($A54="Solid fuels", $Q$9:$X$28,$A54="Cars and light commercial vehicles (pre 2004)", $Q$44:$Y$48,$A54="Light duty vehicles",$Q$49:$Y$50,$A54="Heavy duty vehicles",$Q$51:$Y$58,$A54="Aviation",$Q$59:$Y$61,$A54="Vessel",$Q$63:$Y$65,TRUE,$Q$66:$Y$66),4,FALSE))</f>
        <v>0</v>
      </c>
      <c r="H54" s="12">
        <f>IF(ISBLANK(A54), "", VLOOKUP($B54, _xlfn.IFS($A54="Solid fuels", $Q$9:$X$28,$A54="Cars and light commercial vehicles (pre 2004)", $Q$44:$Y$48,$A54="Light duty vehicles",$Q$49:$Y$50,$A54="Heavy duty vehicles",$Q$51:$Y$58,$A54="Aviation",$Q$59:$Y$61,$A54="Vessel",$Q$63:$Y$65,TRUE,$Q$66:$Y$66),5,FALSE))</f>
        <v>5.3</v>
      </c>
      <c r="I54" s="12">
        <f>IF(ISBLANK(A54), "", VLOOKUP($B54, _xlfn.IFS($A54="Solid fuels", $Q$9:$X$28,$A54="Cars and light commercial vehicles (pre 2004)", $Q$44:$Y$48,$A54="Light duty vehicles",$Q$49:$Y$50,$A54="Heavy duty vehicles",$Q$51:$Y$58,$A54="Aviation",$Q$59:$Y$61,$A54="Vessel",$Q$63:$Y$65,TRUE,$Q$66:$Y$66),6,FALSE))</f>
        <v>1</v>
      </c>
      <c r="J54" s="12" t="str">
        <f>IF(ISBLANK(A54), "", VLOOKUP($B54, _xlfn.IFS($A54="Solid fuels", $Q$9:$X$28,$A54="Cars and light commercial vehicles (pre 2004)", $Q$44:$Y$48,$A54="Light duty vehicles",$Q$49:$Y$50,$A54="Heavy duty vehicles",$Q$51:$Y$58,$A54="Aviation",$Q$59:$Y$61,$A54="Vessel",$Q$63:$Y$65,TRUE,$Q$66:$Y$66),8,FALSE))</f>
        <v>NE</v>
      </c>
      <c r="K54" s="12">
        <f>C54*E54*G54/1000</f>
        <v>0</v>
      </c>
      <c r="L54" s="12">
        <f>C54*E54*H54/1000</f>
        <v>2.1427899999999998</v>
      </c>
      <c r="M54" s="12">
        <f>C54*E54*I54/1000</f>
        <v>0.40429999999999999</v>
      </c>
      <c r="N54" s="12" t="e">
        <f>C54*E54*J54/1000</f>
        <v>#VALUE!</v>
      </c>
      <c r="R54" s="2"/>
      <c r="S54" s="2"/>
      <c r="U54" s="11"/>
      <c r="V54" s="10"/>
      <c r="W54" s="10"/>
      <c r="X54" s="10"/>
      <c r="Y54" s="10"/>
      <c r="Z54" s="10"/>
      <c r="AA54" s="10"/>
    </row>
    <row r="55" spans="1:27">
      <c r="A55" t="s">
        <v>43</v>
      </c>
      <c r="B55" t="s">
        <v>38</v>
      </c>
      <c r="C55">
        <v>8</v>
      </c>
      <c r="D55" s="12" t="s">
        <v>58</v>
      </c>
      <c r="E55" s="12">
        <f>IF(ISBLANK(A55), "", VLOOKUP($B55, _xlfn.IFS($A55="Solid fuels", $Q$9:$X$28,$A55="Cars and light commercial vehicles (pre 2004)", $Q$44:$Y$48,$A55="Light duty vehicles",$Q$49:$Y$50,$A55="Heavy duty vehicles",$Q$51:$Y$58,$A55="Aviation",$Q$59:$Y$61,$A55="Vessel",$Q$63:$Y$65,TRUE,$Q$66:$Y$66),2,FALSE))</f>
        <v>12.2</v>
      </c>
      <c r="F55" s="12" t="str">
        <f>IF(ISBLANK(B55), "", VLOOKUP($B55, _xlfn.IFS($A55="Solid fuels", $Q$9:$X$28,$A55="Cars and light commercial vehicles (pre 2004)", $Q$44:$Y$48,$A55="Light duty vehicles",$Q$49:$Y$50,$A55="Heavy duty vehicles",$Q$51:$Y$58,$A55="Aviation",$Q$59:$Y$61,$A55="Vessel",$Q$63:$Y$65,TRUE,$Q$66:$Y$66),3,FALSE))</f>
        <v>GJ/t</v>
      </c>
      <c r="G55" s="12">
        <f>IF(ISBLANK(A55), "", VLOOKUP($B55, _xlfn.IFS($A55="Solid fuels", $Q$9:$X$28,$A55="Cars and light commercial vehicles (pre 2004)", $Q$44:$Y$48,$A55="Light duty vehicles",$Q$49:$Y$50,$A55="Heavy duty vehicles",$Q$51:$Y$58,$A55="Aviation",$Q$59:$Y$61,$A55="Vessel",$Q$63:$Y$65,TRUE,$Q$66:$Y$66),4,FALSE))</f>
        <v>0</v>
      </c>
      <c r="H55" s="12">
        <f>IF(ISBLANK(A55), "", VLOOKUP($B55, _xlfn.IFS($A55="Solid fuels", $Q$9:$X$28,$A55="Cars and light commercial vehicles (pre 2004)", $Q$44:$Y$48,$A55="Light duty vehicles",$Q$49:$Y$50,$A55="Heavy duty vehicles",$Q$51:$Y$58,$A55="Aviation",$Q$59:$Y$61,$A55="Vessel",$Q$63:$Y$65,TRUE,$Q$66:$Y$66),5,FALSE))</f>
        <v>0.8</v>
      </c>
      <c r="I55" s="12">
        <f>IF(ISBLANK(A55), "", VLOOKUP($B55, _xlfn.IFS($A55="Solid fuels", $Q$9:$X$28,$A55="Cars and light commercial vehicles (pre 2004)", $Q$44:$Y$48,$A55="Light duty vehicles",$Q$49:$Y$50,$A55="Heavy duty vehicles",$Q$51:$Y$58,$A55="Aviation",$Q$59:$Y$61,$A55="Vessel",$Q$63:$Y$65,TRUE,$Q$66:$Y$66),6,FALSE))</f>
        <v>1</v>
      </c>
      <c r="J55" s="12" t="str">
        <f>IF(ISBLANK(A55), "", VLOOKUP($B55, _xlfn.IFS($A55="Solid fuels", $Q$9:$X$28,$A55="Cars and light commercial vehicles (pre 2004)", $Q$44:$Y$48,$A55="Light duty vehicles",$Q$49:$Y$50,$A55="Heavy duty vehicles",$Q$51:$Y$58,$A55="Aviation",$Q$59:$Y$61,$A55="Vessel",$Q$63:$Y$65,TRUE,$Q$66:$Y$66),8,FALSE))</f>
        <v>NE</v>
      </c>
      <c r="K55" s="12">
        <f>C55*E55*G55/1000</f>
        <v>0</v>
      </c>
      <c r="L55" s="12">
        <f>C55*E55*H55/1000</f>
        <v>7.8079999999999997E-2</v>
      </c>
      <c r="M55" s="12">
        <f>C55*E55*I55/1000</f>
        <v>9.7599999999999992E-2</v>
      </c>
      <c r="N55" s="12" t="e">
        <f>C55*E55*J55/1000</f>
        <v>#VALUE!</v>
      </c>
      <c r="R55" s="2"/>
      <c r="S55" s="2"/>
      <c r="U55" s="11"/>
      <c r="V55" s="10"/>
      <c r="W55" s="10"/>
      <c r="X55" s="10"/>
      <c r="Y55" s="10"/>
      <c r="Z55" s="10"/>
      <c r="AA55" s="10"/>
    </row>
    <row r="56" spans="1:27">
      <c r="A56" t="s">
        <v>45</v>
      </c>
      <c r="B56" t="s">
        <v>48</v>
      </c>
      <c r="C56">
        <v>10</v>
      </c>
      <c r="D56" s="12" t="s">
        <v>58</v>
      </c>
      <c r="E56" s="12">
        <f>IF(ISBLANK(A56), "", VLOOKUP($B56, _xlfn.IFS($A56="Solid fuels", $Q$9:$X$28,$A56="Liquid fuels", $Q$29:$X$39,$A56="Light duty vehicles",$Q$49:$Y$50,$A56="Heavy duty vehicles",$Q$51:$Y$58,$A56="Aviation",$Q$59:$Y$61,$A56="Vessel",$Q$63:$Y$65,TRUE,$Q$66:$Y$66),2,FALSE))</f>
        <v>45.3</v>
      </c>
      <c r="F56" s="12" t="str">
        <f>IF(ISBLANK(B56), "", VLOOKUP($B56, _xlfn.IFS($A56="Solid fuels", $Q$9:$X$28,$A56="Liquid fuels", $Q$29:$X$39,$A56="Light duty vehicles",$Q$49:$Y$50,$A56="Heavy duty vehicles",$Q$51:$Y$58,$A56="Aviation",$Q$59:$Y$61,$A56="Vessel",$Q$63:$Y$65,TRUE,$Q$66:$Y$66),3,FALSE))</f>
        <v>GJ/t</v>
      </c>
      <c r="G56" s="12">
        <f>IF(ISBLANK(C56), "", VLOOKUP($B56, _xlfn.IFS($A56="Solid fuels", $Q$9:$X$28,$A56="Liquid fuels", $Q$29:$X$39,$A56="Light duty vehicles",$Q$49:$Y$50,$A56="Heavy duty vehicles",$Q$51:$Y$58,$A56="Aviation",$Q$59:$Y$61,$A56="Vessel",$Q$63:$Y$65,TRUE,$Q$66:$Y$66),4,FALSE))</f>
        <v>69.599999999999994</v>
      </c>
      <c r="H56" s="12">
        <f>IF(ISBLANK(E56), "", VLOOKUP($B56, _xlfn.IFS($A56="Solid fuels", $Q$9:$X$28,$A56="Liquid fuels", $Q$29:$X$39,$A56="Light duty vehicles",$Q$49:$Y$50,$A56="Heavy duty vehicles",$Q$51:$Y$58,$A56="Aviation",$Q$59:$Y$61,$A56="Vessel",$Q$63:$Y$65,TRUE,$Q$66:$Y$66),5,FALSE))</f>
        <v>0.08</v>
      </c>
      <c r="I56" s="12">
        <f>IF(ISBLANK(F56), "", VLOOKUP($B56, _xlfn.IFS($A56="Solid fuels", $Q$9:$X$28,$A56="Liquid fuels", $Q$29:$X$39,$A56="Light duty vehicles",$Q$49:$Y$50,$A56="Heavy duty vehicles",$Q$51:$Y$58,$A56="Aviation",$Q$59:$Y$61,$A56="Vessel",$Q$63:$Y$65,TRUE,$Q$66:$Y$66),6,FALSE))</f>
        <v>0.2</v>
      </c>
      <c r="J56" s="12" t="str">
        <f>IF(ISBLANK(G56), "", VLOOKUP($B56, _xlfn.IFS($A56="Solid fuels", $Q$9:$X$28,$A56="Liquid fuels", $Q$29:$X$39,$A56="Light duty vehicles",$Q$49:$Y$50,$A56="Heavy duty vehicles",$Q$51:$Y$58,$A56="Aviation",$Q$59:$Y$61,$A56="Vessel",$Q$63:$Y$65,TRUE,$Q$66:$Y$66),8,FALSE))</f>
        <v>NE</v>
      </c>
      <c r="K56" s="12">
        <f>C56*E56*G56/1000</f>
        <v>31.528799999999997</v>
      </c>
      <c r="L56" s="12">
        <f>C56*E56*H56/1000</f>
        <v>3.6240000000000001E-2</v>
      </c>
      <c r="M56" s="12">
        <f>C56*E56*I56/1000</f>
        <v>9.0600000000000014E-2</v>
      </c>
      <c r="N56" s="12" t="e">
        <f>C56*E56*J56/1000</f>
        <v>#VALUE!</v>
      </c>
      <c r="R56" s="2"/>
      <c r="S56" s="2"/>
      <c r="U56" s="11"/>
      <c r="V56" s="10"/>
      <c r="W56" s="10"/>
      <c r="X56" s="10"/>
      <c r="Y56" s="10"/>
      <c r="Z56" s="10"/>
      <c r="AA56" s="10"/>
    </row>
    <row r="57" spans="1:27">
      <c r="A57" t="s">
        <v>45</v>
      </c>
      <c r="B57" t="s">
        <v>49</v>
      </c>
      <c r="C57">
        <v>11</v>
      </c>
      <c r="D57" s="12" t="s">
        <v>58</v>
      </c>
      <c r="E57" s="12">
        <f>IF(ISBLANK(A57), "", VLOOKUP($B57, _xlfn.IFS($A57="Solid fuels", $Q$9:$X$28,$A57="Liquid fuels", $Q$29:$X$39,$A57="Light duty vehicles",$Q$49:$Y$50,$A57="Heavy duty vehicles",$Q$51:$Y$58,$A57="Aviation",$Q$59:$Y$61,$A57="Vessel",$Q$63:$Y$65,TRUE,$Q$66:$Y$66),2,FALSE))</f>
        <v>46.5</v>
      </c>
      <c r="F57" s="12" t="str">
        <f>IF(ISBLANK(B57), "", VLOOKUP($B57, _xlfn.IFS($A57="Solid fuels", $Q$9:$X$28,$A57="Liquid fuels", $Q$29:$X$39,$A57="Light duty vehicles",$Q$49:$Y$50,$A57="Heavy duty vehicles",$Q$51:$Y$58,$A57="Aviation",$Q$59:$Y$61,$A57="Vessel",$Q$63:$Y$65,TRUE,$Q$66:$Y$66),3,FALSE))</f>
        <v>GJ/t</v>
      </c>
      <c r="G57" s="12">
        <f>IF(ISBLANK(C57), "", VLOOKUP($B57, _xlfn.IFS($A57="Solid fuels", $Q$9:$X$28,$A57="Liquid fuels", $Q$29:$X$39,$A57="Light duty vehicles",$Q$49:$Y$50,$A57="Heavy duty vehicles",$Q$51:$Y$58,$A57="Aviation",$Q$59:$Y$61,$A57="Vessel",$Q$63:$Y$65,TRUE,$Q$66:$Y$66),4,FALSE))</f>
        <v>61</v>
      </c>
      <c r="H57" s="12">
        <f>IF(ISBLANK(E57), "", VLOOKUP($B57, _xlfn.IFS($A57="Solid fuels", $Q$9:$X$28,$A57="Liquid fuels", $Q$29:$X$39,$A57="Light duty vehicles",$Q$49:$Y$50,$A57="Heavy duty vehicles",$Q$51:$Y$58,$A57="Aviation",$Q$59:$Y$61,$A57="Vessel",$Q$63:$Y$65,TRUE,$Q$66:$Y$66),5,FALSE))</f>
        <v>0.08</v>
      </c>
      <c r="I57" s="12">
        <f>IF(ISBLANK(F57), "", VLOOKUP($B57, _xlfn.IFS($A57="Solid fuels", $Q$9:$X$28,$A57="Liquid fuels", $Q$29:$X$39,$A57="Light duty vehicles",$Q$49:$Y$50,$A57="Heavy duty vehicles",$Q$51:$Y$58,$A57="Aviation",$Q$59:$Y$61,$A57="Vessel",$Q$63:$Y$65,TRUE,$Q$66:$Y$66),6,FALSE))</f>
        <v>0.2</v>
      </c>
      <c r="J57" s="12" t="str">
        <f>IF(ISBLANK(G57), "", VLOOKUP($B57, _xlfn.IFS($A57="Solid fuels", $Q$9:$X$28,$A57="Liquid fuels", $Q$29:$X$39,$A57="Light duty vehicles",$Q$49:$Y$50,$A57="Heavy duty vehicles",$Q$51:$Y$58,$A57="Aviation",$Q$59:$Y$61,$A57="Vessel",$Q$63:$Y$65,TRUE,$Q$66:$Y$66),8,FALSE))</f>
        <v>NE</v>
      </c>
      <c r="K57" s="12">
        <f>C57*E57*G57/1000</f>
        <v>31.201499999999999</v>
      </c>
      <c r="L57" s="12">
        <f>C57*E57*H57/1000</f>
        <v>4.0920000000000005E-2</v>
      </c>
      <c r="M57" s="12">
        <f>C57*E57*I57/1000</f>
        <v>0.10230000000000002</v>
      </c>
      <c r="N57" s="12" t="e">
        <f>C57*E57*J57/1000</f>
        <v>#VALUE!</v>
      </c>
      <c r="R57" s="2"/>
      <c r="S57" s="2"/>
      <c r="U57" s="11"/>
      <c r="V57" s="10"/>
      <c r="W57" s="10"/>
      <c r="X57" s="10"/>
      <c r="Y57" s="10"/>
      <c r="Z57" s="10"/>
      <c r="AA57" s="10"/>
    </row>
    <row r="58" spans="1:27">
      <c r="A58" t="s">
        <v>45</v>
      </c>
      <c r="B58" t="s">
        <v>88</v>
      </c>
      <c r="C58">
        <v>9</v>
      </c>
      <c r="D58" s="12" t="s">
        <v>58</v>
      </c>
      <c r="E58" s="12">
        <f>IF(ISBLANK(A58), "", VLOOKUP($B58, _xlfn.IFS($A58="Solid fuels", $Q$9:$X$28,$A58="Liquid fuels", $Q$29:$X$52,$A58="Light duty vehicles",$Q$49:$Y$50,$A58="Heavy duty vehicles",$Q$51:$Y$58,$A58="Aviation",$Q$59:$Y$61,$A58="Vessel",$Q$63:$Y$65,TRUE,$Q$66:$Y$66),2,FALSE))</f>
        <v>34.6</v>
      </c>
      <c r="F58" s="12" t="str">
        <f>IF(ISBLANK(B58), "", VLOOKUP($B58, _xlfn.IFS($A58="Solid fuels", $Q$9:$X$28,$A58="Liquid fuels", $Q$29:$X$52,$A58="Light duty vehicles",$Q$49:$Y$50,$A58="Heavy duty vehicles",$Q$51:$Y$58,$A58="Aviation",$Q$59:$Y$61,$A58="Vessel",$Q$63:$Y$65,TRUE,$Q$66:$Y$66),3,FALSE))</f>
        <v>GJ/kL</v>
      </c>
      <c r="G58" s="12">
        <f>IF(ISBLANK(C58), "", VLOOKUP($B58, _xlfn.IFS($A58="Solid fuels", $Q$9:$X$28,$A58="Liquid fuels", $Q$29:$X$52,$A58="Light duty vehicles",$Q$49:$Y$50,$A58="Heavy duty vehicles",$Q$51:$Y$58,$A58="Aviation",$Q$59:$Y$61,$A58="Vessel",$Q$63:$Y$65,TRUE,$Q$66:$Y$66),4,FALSE))</f>
        <v>0</v>
      </c>
      <c r="H58" s="12">
        <f>IF(ISBLANK(E58), "", VLOOKUP($B58, _xlfn.IFS($A58="Solid fuels", $Q$9:$X$28,$A58="Liquid fuels", $Q$29:$X$52,$A58="Light duty vehicles",$Q$49:$Y$50,$A58="Heavy duty vehicles",$Q$51:$Y$58,$A58="Aviation",$Q$59:$Y$61,$A58="Vessel",$Q$63:$Y$65,TRUE,$Q$66:$Y$66),5,FALSE))</f>
        <v>0.08</v>
      </c>
      <c r="I58" s="12">
        <f>IF(ISBLANK(F58), "", VLOOKUP($B58, _xlfn.IFS($A58="Solid fuels", $Q$9:$X$28,$A58="Liquid fuels", $Q$29:$X$52,$A58="Light duty vehicles",$Q$49:$Y$50,$A58="Heavy duty vehicles",$Q$51:$Y$58,$A58="Aviation",$Q$59:$Y$61,$A58="Vessel",$Q$63:$Y$65,TRUE,$Q$66:$Y$66),6,FALSE))</f>
        <v>0.2</v>
      </c>
      <c r="J58" s="12" t="str">
        <f>IF(ISBLANK(G58), "", VLOOKUP($B58, _xlfn.IFS($A58="Solid fuels", $Q$9:$X$28,$A58="Liquid fuels", $Q$29:$X$52,$A58="Light duty vehicles",$Q$49:$Y$50,$A58="Heavy duty vehicles",$Q$51:$Y$58,$A58="Aviation",$Q$59:$Y$61,$A58="Vessel",$Q$63:$Y$65,TRUE,$Q$66:$Y$66),8,FALSE))</f>
        <v>NE</v>
      </c>
      <c r="K58" s="12">
        <f>C58*E58*G58/1000</f>
        <v>0</v>
      </c>
      <c r="L58" s="12">
        <f>C58*E58*H58/1000</f>
        <v>2.4912000000000004E-2</v>
      </c>
      <c r="M58" s="12">
        <f>C58*E58*I58/1000</f>
        <v>6.2280000000000009E-2</v>
      </c>
      <c r="N58" s="12" t="e">
        <f>C58*E58*J58/1000</f>
        <v>#VALUE!</v>
      </c>
      <c r="R58" s="2"/>
      <c r="S58" s="2"/>
      <c r="U58" s="11"/>
      <c r="V58" s="10"/>
      <c r="W58" s="10"/>
      <c r="X58" s="10"/>
      <c r="Y58" s="10"/>
      <c r="Z58" s="10"/>
      <c r="AA58" s="10"/>
    </row>
    <row r="59" spans="1:27">
      <c r="A59" t="s">
        <v>45</v>
      </c>
      <c r="B59" t="s">
        <v>89</v>
      </c>
      <c r="C59">
        <v>8</v>
      </c>
      <c r="D59" s="12" t="s">
        <v>58</v>
      </c>
      <c r="E59" s="12">
        <f>IF(ISBLANK(A59), "", VLOOKUP($B59, _xlfn.IFS($A59="Solid fuels", $Q$9:$X$28,$A59="Liquid fuels", $Q$29:$X$52,$A59="Light duty vehicles",$Q$49:$Y$50,$A59="Heavy duty vehicles",$Q$51:$Y$58,$A59="Aviation",$Q$59:$Y$61,$A59="Vessel",$Q$63:$Y$65,TRUE,$Q$66:$Y$66),2,FALSE))</f>
        <v>23.4</v>
      </c>
      <c r="F59" s="12" t="str">
        <f>IF(ISBLANK(B59), "", VLOOKUP($B59, _xlfn.IFS($A59="Solid fuels", $Q$9:$X$28,$A59="Liquid fuels", $Q$29:$X$52,$A59="Light duty vehicles",$Q$49:$Y$50,$A59="Heavy duty vehicles",$Q$51:$Y$58,$A59="Aviation",$Q$59:$Y$61,$A59="Vessel",$Q$63:$Y$65,TRUE,$Q$66:$Y$66),3,FALSE))</f>
        <v>GJ/kL</v>
      </c>
      <c r="G59" s="12">
        <f>IF(ISBLANK(C59), "", VLOOKUP($B59, _xlfn.IFS($A59="Solid fuels", $Q$9:$X$28,$A59="Liquid fuels", $Q$29:$X$52,$A59="Light duty vehicles",$Q$49:$Y$50,$A59="Heavy duty vehicles",$Q$51:$Y$58,$A59="Aviation",$Q$59:$Y$61,$A59="Vessel",$Q$63:$Y$65,TRUE,$Q$66:$Y$66),4,FALSE))</f>
        <v>0</v>
      </c>
      <c r="H59" s="12">
        <f>IF(ISBLANK(E59), "", VLOOKUP($B59, _xlfn.IFS($A59="Solid fuels", $Q$9:$X$28,$A59="Liquid fuels", $Q$29:$X$52,$A59="Light duty vehicles",$Q$49:$Y$50,$A59="Heavy duty vehicles",$Q$51:$Y$58,$A59="Aviation",$Q$59:$Y$61,$A59="Vessel",$Q$63:$Y$65,TRUE,$Q$66:$Y$66),5,FALSE))</f>
        <v>0.08</v>
      </c>
      <c r="I59" s="12">
        <f>IF(ISBLANK(F59), "", VLOOKUP($B59, _xlfn.IFS($A59="Solid fuels", $Q$9:$X$28,$A59="Liquid fuels", $Q$29:$X$52,$A59="Light duty vehicles",$Q$49:$Y$50,$A59="Heavy duty vehicles",$Q$51:$Y$58,$A59="Aviation",$Q$59:$Y$61,$A59="Vessel",$Q$63:$Y$65,TRUE,$Q$66:$Y$66),6,FALSE))</f>
        <v>0.2</v>
      </c>
      <c r="J59" s="12" t="str">
        <f>IF(ISBLANK(G59), "", VLOOKUP($B59, _xlfn.IFS($A59="Solid fuels", $Q$9:$X$28,$A59="Liquid fuels", $Q$29:$X$52,$A59="Light duty vehicles",$Q$49:$Y$50,$A59="Heavy duty vehicles",$Q$51:$Y$58,$A59="Aviation",$Q$59:$Y$61,$A59="Vessel",$Q$63:$Y$65,TRUE,$Q$66:$Y$66),8,FALSE))</f>
        <v>NE</v>
      </c>
      <c r="K59" s="12">
        <f>C59*E59*G59/1000</f>
        <v>0</v>
      </c>
      <c r="L59" s="12">
        <f>C59*E59*H59/1000</f>
        <v>1.4976E-2</v>
      </c>
      <c r="M59" s="12">
        <f>C59*E59*I59/1000</f>
        <v>3.7440000000000001E-2</v>
      </c>
      <c r="N59" s="12" t="e">
        <f>C59*E59*J59/1000</f>
        <v>#VALUE!</v>
      </c>
      <c r="R59" s="2"/>
      <c r="S59" s="2"/>
      <c r="U59" s="11"/>
      <c r="V59" s="10"/>
      <c r="W59" s="10"/>
      <c r="X59" s="10"/>
      <c r="Y59" s="10"/>
      <c r="Z59" s="10"/>
      <c r="AA59" s="10"/>
    </row>
    <row r="60" spans="1:27">
      <c r="A60" t="s">
        <v>45</v>
      </c>
      <c r="B60" t="s">
        <v>90</v>
      </c>
      <c r="C60">
        <v>7</v>
      </c>
      <c r="D60" s="12" t="s">
        <v>58</v>
      </c>
      <c r="E60" s="12">
        <f>IF(ISBLANK(A60), "", VLOOKUP($B60, _xlfn.IFS($A60="Solid fuels", $Q$9:$X$28,$A60="Liquid fuels", $Q$29:$X$52,$A60="Light duty vehicles",$Q$49:$Y$50,$A60="Heavy duty vehicles",$Q$51:$Y$58,$A60="Aviation",$Q$59:$Y$61,$A60="Vessel",$Q$63:$Y$65,TRUE,$Q$66:$Y$66),2,FALSE))</f>
        <v>23.4</v>
      </c>
      <c r="F60" s="12" t="str">
        <f>IF(ISBLANK(B60), "", VLOOKUP($B60, _xlfn.IFS($A60="Solid fuels", $Q$9:$X$28,$A60="Liquid fuels", $Q$29:$X$52,$A60="Light duty vehicles",$Q$49:$Y$50,$A60="Heavy duty vehicles",$Q$51:$Y$58,$A60="Aviation",$Q$59:$Y$61,$A60="Vessel",$Q$63:$Y$65,TRUE,$Q$66:$Y$66),3,FALSE))</f>
        <v>GJ/kL</v>
      </c>
      <c r="G60" s="12">
        <f>IF(ISBLANK(C60), "", VLOOKUP($B60, _xlfn.IFS($A60="Solid fuels", $Q$9:$X$28,$A60="Liquid fuels", $Q$29:$X$52,$A60="Light duty vehicles",$Q$49:$Y$50,$A60="Heavy duty vehicles",$Q$51:$Y$58,$A60="Aviation",$Q$59:$Y$61,$A60="Vessel",$Q$63:$Y$65,TRUE,$Q$66:$Y$66),4,FALSE))</f>
        <v>0</v>
      </c>
      <c r="H60" s="12">
        <f>IF(ISBLANK(E60), "", VLOOKUP($B60, _xlfn.IFS($A60="Solid fuels", $Q$9:$X$28,$A60="Liquid fuels", $Q$29:$X$52,$A60="Light duty vehicles",$Q$49:$Y$50,$A60="Heavy duty vehicles",$Q$51:$Y$58,$A60="Aviation",$Q$59:$Y$61,$A60="Vessel",$Q$63:$Y$65,TRUE,$Q$66:$Y$66),5,FALSE))</f>
        <v>0.08</v>
      </c>
      <c r="I60" s="12">
        <f>IF(ISBLANK(F60), "", VLOOKUP($B60, _xlfn.IFS($A60="Solid fuels", $Q$9:$X$28,$A60="Liquid fuels", $Q$29:$X$52,$A60="Light duty vehicles",$Q$49:$Y$50,$A60="Heavy duty vehicles",$Q$51:$Y$58,$A60="Aviation",$Q$59:$Y$61,$A60="Vessel",$Q$63:$Y$65,TRUE,$Q$66:$Y$66),6,FALSE))</f>
        <v>0.2</v>
      </c>
      <c r="J60" s="12" t="str">
        <f>IF(ISBLANK(G60), "", VLOOKUP($B60, _xlfn.IFS($A60="Solid fuels", $Q$9:$X$28,$A60="Liquid fuels", $Q$29:$X$52,$A60="Light duty vehicles",$Q$49:$Y$50,$A60="Heavy duty vehicles",$Q$51:$Y$58,$A60="Aviation",$Q$59:$Y$61,$A60="Vessel",$Q$63:$Y$65,TRUE,$Q$66:$Y$66),8,FALSE))</f>
        <v>NE</v>
      </c>
      <c r="K60" s="12">
        <f>C60*E60*G60/1000</f>
        <v>0</v>
      </c>
      <c r="L60" s="12">
        <f>C60*E60*H60/1000</f>
        <v>1.3103999999999999E-2</v>
      </c>
      <c r="M60" s="12">
        <f>C60*E60*I60/1000</f>
        <v>3.2759999999999997E-2</v>
      </c>
      <c r="N60" s="12" t="e">
        <f>C60*E60*J60/1000</f>
        <v>#VALUE!</v>
      </c>
      <c r="R60" s="2"/>
      <c r="S60" s="2"/>
      <c r="U60" s="11"/>
      <c r="V60" s="10"/>
      <c r="W60" s="10"/>
      <c r="X60" s="10"/>
      <c r="Y60" s="10"/>
      <c r="Z60" s="10"/>
      <c r="AA60" s="10"/>
    </row>
    <row r="61" spans="1:27">
      <c r="A61" t="s">
        <v>45</v>
      </c>
      <c r="B61" t="s">
        <v>91</v>
      </c>
      <c r="C61">
        <v>6</v>
      </c>
      <c r="D61" s="12" t="s">
        <v>58</v>
      </c>
      <c r="E61" s="12">
        <f>IF(ISBLANK(A61), "", VLOOKUP($B61, _xlfn.IFS($A61="Solid fuels", $Q$9:$X$28,$A61="Liquid fuels", $Q$29:$X$52,$A61="Light duty vehicles",$Q$49:$Y$50,$A61="Heavy duty vehicles",$Q$51:$Y$58,$A61="Aviation",$Q$59:$Y$61,$A61="Vessel",$Q$63:$Y$65,TRUE,$Q$66:$Y$66),2,FALSE))</f>
        <v>36.799999999999997</v>
      </c>
      <c r="F61" s="12" t="str">
        <f>IF(ISBLANK(B61), "", VLOOKUP($B61, _xlfn.IFS($A61="Solid fuels", $Q$9:$X$28,$A61="Liquid fuels", $Q$29:$X$52,$A61="Light duty vehicles",$Q$49:$Y$50,$A61="Heavy duty vehicles",$Q$51:$Y$58,$A61="Aviation",$Q$59:$Y$61,$A61="Vessel",$Q$63:$Y$65,TRUE,$Q$66:$Y$66),3,FALSE))</f>
        <v>GJ/kL</v>
      </c>
      <c r="G61" s="12">
        <f>IF(ISBLANK(C61), "", VLOOKUP($B61, _xlfn.IFS($A61="Solid fuels", $Q$9:$X$28,$A61="Liquid fuels", $Q$29:$X$52,$A61="Light duty vehicles",$Q$49:$Y$50,$A61="Heavy duty vehicles",$Q$51:$Y$58,$A61="Aviation",$Q$59:$Y$61,$A61="Vessel",$Q$63:$Y$65,TRUE,$Q$66:$Y$66),4,FALSE))</f>
        <v>0</v>
      </c>
      <c r="H61" s="12">
        <f>IF(ISBLANK(E61), "", VLOOKUP($B61, _xlfn.IFS($A61="Solid fuels", $Q$9:$X$28,$A61="Liquid fuels", $Q$29:$X$52,$A61="Light duty vehicles",$Q$49:$Y$50,$A61="Heavy duty vehicles",$Q$51:$Y$58,$A61="Aviation",$Q$59:$Y$61,$A61="Vessel",$Q$63:$Y$65,TRUE,$Q$66:$Y$66),5,FALSE))</f>
        <v>0.02</v>
      </c>
      <c r="I61" s="12">
        <f>IF(ISBLANK(F61), "", VLOOKUP($B61, _xlfn.IFS($A61="Solid fuels", $Q$9:$X$28,$A61="Liquid fuels", $Q$29:$X$52,$A61="Light duty vehicles",$Q$49:$Y$50,$A61="Heavy duty vehicles",$Q$51:$Y$58,$A61="Aviation",$Q$59:$Y$61,$A61="Vessel",$Q$63:$Y$65,TRUE,$Q$66:$Y$66),6,FALSE))</f>
        <v>0.2</v>
      </c>
      <c r="J61" s="12" t="str">
        <f>IF(ISBLANK(G61), "", VLOOKUP($B61, _xlfn.IFS($A61="Solid fuels", $Q$9:$X$28,$A61="Liquid fuels", $Q$29:$X$52,$A61="Light duty vehicles",$Q$49:$Y$50,$A61="Heavy duty vehicles",$Q$51:$Y$58,$A61="Aviation",$Q$59:$Y$61,$A61="Vessel",$Q$63:$Y$65,TRUE,$Q$66:$Y$66),8,FALSE))</f>
        <v>NE</v>
      </c>
      <c r="K61" s="12">
        <f>C61*E61*G61/1000</f>
        <v>0</v>
      </c>
      <c r="L61" s="12">
        <f>C61*E61*H61/1000</f>
        <v>4.4159999999999998E-3</v>
      </c>
      <c r="M61" s="12">
        <f>C61*E61*I61/1000</f>
        <v>4.4159999999999998E-2</v>
      </c>
      <c r="N61" s="12" t="e">
        <f>C61*E61*J61/1000</f>
        <v>#VALUE!</v>
      </c>
      <c r="R61" s="2"/>
      <c r="S61" s="2"/>
      <c r="U61" s="11"/>
      <c r="V61" s="10"/>
      <c r="W61" s="10"/>
      <c r="X61" s="10"/>
      <c r="Y61" s="10"/>
      <c r="Z61" s="10"/>
      <c r="AA61" s="10"/>
    </row>
    <row r="62" spans="1:27">
      <c r="A62" t="s">
        <v>45</v>
      </c>
      <c r="B62" t="s">
        <v>92</v>
      </c>
      <c r="C62">
        <v>5</v>
      </c>
      <c r="D62" s="12" t="s">
        <v>58</v>
      </c>
      <c r="E62" s="12">
        <f>IF(ISBLANK(A62), "", VLOOKUP($B62, _xlfn.IFS($A62="Solid fuels", $Q$9:$X$28,$A62="Liquid fuels", $Q$29:$X$52,$A62="Light duty vehicles",$Q$49:$Y$50,$A62="Heavy duty vehicles",$Q$51:$Y$58,$A62="Aviation",$Q$59:$Y$61,$A62="Vessel",$Q$63:$Y$65,TRUE,$Q$66:$Y$66),2,FALSE))</f>
        <v>38.6</v>
      </c>
      <c r="F62" s="12" t="str">
        <f>IF(ISBLANK(B62), "", VLOOKUP($B62, _xlfn.IFS($A62="Solid fuels", $Q$9:$X$28,$A62="Liquid fuels", $Q$29:$X$52,$A62="Light duty vehicles",$Q$49:$Y$50,$A62="Heavy duty vehicles",$Q$51:$Y$58,$A62="Aviation",$Q$59:$Y$61,$A62="Vessel",$Q$63:$Y$65,TRUE,$Q$66:$Y$66),3,FALSE))</f>
        <v>GJ/kL</v>
      </c>
      <c r="G62" s="12">
        <f>IF(ISBLANK(C62), "", VLOOKUP($B62, _xlfn.IFS($A62="Solid fuels", $Q$9:$X$28,$A62="Liquid fuels", $Q$29:$X$52,$A62="Light duty vehicles",$Q$49:$Y$50,$A62="Heavy duty vehicles",$Q$51:$Y$58,$A62="Aviation",$Q$59:$Y$61,$A62="Vessel",$Q$63:$Y$65,TRUE,$Q$66:$Y$66),4,FALSE))</f>
        <v>0</v>
      </c>
      <c r="H62" s="12">
        <f>IF(ISBLANK(E62), "", VLOOKUP($B62, _xlfn.IFS($A62="Solid fuels", $Q$9:$X$28,$A62="Liquid fuels", $Q$29:$X$52,$A62="Light duty vehicles",$Q$49:$Y$50,$A62="Heavy duty vehicles",$Q$51:$Y$58,$A62="Aviation",$Q$59:$Y$61,$A62="Vessel",$Q$63:$Y$65,TRUE,$Q$66:$Y$66),5,FALSE))</f>
        <v>0.1</v>
      </c>
      <c r="I62" s="12">
        <f>IF(ISBLANK(F62), "", VLOOKUP($B62, _xlfn.IFS($A62="Solid fuels", $Q$9:$X$28,$A62="Liquid fuels", $Q$29:$X$52,$A62="Light duty vehicles",$Q$49:$Y$50,$A62="Heavy duty vehicles",$Q$51:$Y$58,$A62="Aviation",$Q$59:$Y$61,$A62="Vessel",$Q$63:$Y$65,TRUE,$Q$66:$Y$66),6,FALSE))</f>
        <v>0.2</v>
      </c>
      <c r="J62" s="12" t="str">
        <f>IF(ISBLANK(G62), "", VLOOKUP($B62, _xlfn.IFS($A62="Solid fuels", $Q$9:$X$28,$A62="Liquid fuels", $Q$29:$X$52,$A62="Light duty vehicles",$Q$49:$Y$50,$A62="Heavy duty vehicles",$Q$51:$Y$58,$A62="Aviation",$Q$59:$Y$61,$A62="Vessel",$Q$63:$Y$65,TRUE,$Q$66:$Y$66),8,FALSE))</f>
        <v>NE</v>
      </c>
      <c r="K62" s="12">
        <f>C62*E62*G62/1000</f>
        <v>0</v>
      </c>
      <c r="L62" s="12">
        <f>C62*E62*H62/1000</f>
        <v>1.9300000000000001E-2</v>
      </c>
      <c r="M62" s="12">
        <f>C62*E62*I62/1000</f>
        <v>3.8600000000000002E-2</v>
      </c>
      <c r="N62" s="12" t="e">
        <f>C62*E62*J62/1000</f>
        <v>#VALUE!</v>
      </c>
      <c r="R62" s="2"/>
      <c r="S62" s="2"/>
      <c r="U62" s="11"/>
      <c r="V62" s="10"/>
      <c r="W62" s="10"/>
      <c r="X62" s="10"/>
      <c r="Y62" s="10"/>
      <c r="Z62" s="10"/>
      <c r="AA62" s="10"/>
    </row>
    <row r="63" spans="1:27">
      <c r="R63" s="2"/>
      <c r="S63" s="2"/>
      <c r="U63" s="9"/>
      <c r="V63" s="9"/>
      <c r="W63" s="9"/>
      <c r="Y63" s="9"/>
      <c r="Z63" s="9"/>
      <c r="AA63" s="9"/>
    </row>
    <row r="64" spans="1:27">
      <c r="U64" s="2"/>
      <c r="V64" s="11"/>
      <c r="W64" s="10"/>
      <c r="Z64" s="9"/>
      <c r="AA64" s="9"/>
    </row>
    <row r="65" spans="18:22">
      <c r="U65" s="2"/>
      <c r="V65" s="2"/>
    </row>
    <row r="66" spans="18:22">
      <c r="R66" s="2"/>
      <c r="S66" s="2"/>
      <c r="U66" s="2"/>
      <c r="V66" s="2"/>
    </row>
    <row r="68" spans="18:22">
      <c r="R68" s="2"/>
      <c r="S68" s="2"/>
      <c r="T68" s="2"/>
    </row>
    <row r="69" spans="18:22">
      <c r="R69" s="2"/>
      <c r="S69" s="2"/>
      <c r="T69" s="2"/>
    </row>
    <row r="70" spans="18:22">
      <c r="T70" s="2"/>
    </row>
    <row r="71" spans="18:22">
      <c r="R71" s="2"/>
      <c r="S71" s="2"/>
      <c r="T71" s="2"/>
    </row>
    <row r="72" spans="18:22">
      <c r="R72" s="2"/>
      <c r="S72" s="2"/>
      <c r="T72" s="2"/>
    </row>
    <row r="73" spans="18:22">
      <c r="R73" s="2"/>
      <c r="S73" s="2"/>
      <c r="T73" s="2"/>
    </row>
    <row r="74" spans="18:22">
      <c r="R74" s="2"/>
      <c r="S74" s="2"/>
      <c r="T74" s="2"/>
    </row>
    <row r="75" spans="18:22">
      <c r="R75" s="2"/>
      <c r="S75" s="2"/>
      <c r="T75" s="2"/>
    </row>
    <row r="76" spans="18:22">
      <c r="R76" s="2"/>
      <c r="S76" s="2"/>
      <c r="T76" s="2"/>
    </row>
    <row r="77" spans="18:22">
      <c r="R77" s="2"/>
      <c r="S77" s="2"/>
      <c r="T77" s="2"/>
    </row>
    <row r="78" spans="18:22">
      <c r="R78" s="2"/>
      <c r="S78" s="2"/>
      <c r="T78" s="2"/>
    </row>
    <row r="79" spans="18:22">
      <c r="R79" s="2"/>
      <c r="S79" s="2"/>
      <c r="T79" s="2"/>
    </row>
    <row r="80" spans="18:22">
      <c r="R80" s="2"/>
      <c r="S80" s="2"/>
      <c r="T80" s="2"/>
    </row>
    <row r="81" spans="18:20">
      <c r="R81" s="2"/>
      <c r="S81" s="2"/>
      <c r="T81" s="2"/>
    </row>
    <row r="82" spans="18:20">
      <c r="R82" s="2"/>
      <c r="S82" s="2"/>
      <c r="T82" s="2"/>
    </row>
    <row r="83" spans="18:20">
      <c r="R83" s="2"/>
      <c r="S83" s="2"/>
      <c r="T83" s="2"/>
    </row>
  </sheetData>
  <mergeCells count="1">
    <mergeCell ref="AA35:AA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2026-02-26T03:53:26Z</dcterms:modified>
</cp:coreProperties>
</file>