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6CA9EEBE-9F0E-814B-8B85-194AAC47673F}" xr6:coauthVersionLast="47" xr6:coauthVersionMax="47" xr10:uidLastSave="{00000000-0000-0000-0000-000000000000}"/>
  <bookViews>
    <workbookView xWindow="0" yWindow="660" windowWidth="28800" windowHeight="15880" xr2:uid="{5678E890-3691-CF46-80E7-00FB1F103661}"/>
  </bookViews>
  <sheets>
    <sheet name="4.7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K1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4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11" i="1"/>
  <c r="N12" i="1"/>
  <c r="AI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11" i="1"/>
  <c r="H12" i="1"/>
  <c r="W12" i="1" s="1"/>
  <c r="H13" i="1"/>
  <c r="W13" i="1" s="1"/>
  <c r="H14" i="1"/>
  <c r="W14" i="1" s="1"/>
  <c r="H15" i="1"/>
  <c r="W15" i="1" s="1"/>
  <c r="H16" i="1"/>
  <c r="W16" i="1" s="1"/>
  <c r="H17" i="1"/>
  <c r="W17" i="1" s="1"/>
  <c r="H18" i="1"/>
  <c r="W18" i="1" s="1"/>
  <c r="H19" i="1"/>
  <c r="W19" i="1" s="1"/>
  <c r="H20" i="1"/>
  <c r="W20" i="1" s="1"/>
  <c r="H21" i="1"/>
  <c r="W21" i="1" s="1"/>
  <c r="H22" i="1"/>
  <c r="W22" i="1" s="1"/>
  <c r="H23" i="1"/>
  <c r="W23" i="1" s="1"/>
  <c r="H24" i="1"/>
  <c r="W24" i="1" s="1"/>
  <c r="H25" i="1"/>
  <c r="W25" i="1" s="1"/>
  <c r="H26" i="1"/>
  <c r="W26" i="1" s="1"/>
  <c r="H27" i="1"/>
  <c r="W27" i="1" s="1"/>
  <c r="H28" i="1"/>
  <c r="W28" i="1" s="1"/>
  <c r="H29" i="1"/>
  <c r="W29" i="1" s="1"/>
  <c r="H11" i="1"/>
  <c r="W11" i="1" s="1"/>
  <c r="X42" i="1" l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41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Z59" i="1"/>
  <c r="V59" i="1"/>
  <c r="U59" i="1"/>
  <c r="T59" i="1"/>
  <c r="R59" i="1"/>
  <c r="Q59" i="1"/>
  <c r="P59" i="1"/>
  <c r="M59" i="1"/>
  <c r="K59" i="1"/>
  <c r="Z58" i="1"/>
  <c r="V58" i="1"/>
  <c r="U58" i="1"/>
  <c r="T58" i="1"/>
  <c r="R58" i="1"/>
  <c r="Q58" i="1"/>
  <c r="P58" i="1"/>
  <c r="M58" i="1"/>
  <c r="K58" i="1"/>
  <c r="Z57" i="1"/>
  <c r="V57" i="1"/>
  <c r="U57" i="1"/>
  <c r="T57" i="1"/>
  <c r="R57" i="1"/>
  <c r="Q57" i="1"/>
  <c r="P57" i="1"/>
  <c r="M57" i="1"/>
  <c r="K57" i="1"/>
  <c r="Z56" i="1"/>
  <c r="V56" i="1"/>
  <c r="U56" i="1"/>
  <c r="T56" i="1"/>
  <c r="R56" i="1"/>
  <c r="Q56" i="1"/>
  <c r="P56" i="1"/>
  <c r="M56" i="1"/>
  <c r="K56" i="1"/>
  <c r="Z55" i="1"/>
  <c r="V55" i="1"/>
  <c r="U55" i="1"/>
  <c r="T55" i="1"/>
  <c r="R55" i="1"/>
  <c r="Q55" i="1"/>
  <c r="P55" i="1"/>
  <c r="M55" i="1"/>
  <c r="K55" i="1"/>
  <c r="Z54" i="1"/>
  <c r="V54" i="1"/>
  <c r="U54" i="1"/>
  <c r="T54" i="1"/>
  <c r="R54" i="1"/>
  <c r="Q54" i="1"/>
  <c r="P54" i="1"/>
  <c r="M54" i="1"/>
  <c r="K54" i="1"/>
  <c r="Z53" i="1"/>
  <c r="V53" i="1"/>
  <c r="U53" i="1"/>
  <c r="T53" i="1"/>
  <c r="R53" i="1"/>
  <c r="Q53" i="1"/>
  <c r="P53" i="1"/>
  <c r="M53" i="1"/>
  <c r="K53" i="1"/>
  <c r="Z52" i="1"/>
  <c r="V52" i="1"/>
  <c r="U52" i="1"/>
  <c r="T52" i="1"/>
  <c r="R52" i="1"/>
  <c r="Q52" i="1"/>
  <c r="P52" i="1"/>
  <c r="M52" i="1"/>
  <c r="K52" i="1"/>
  <c r="Z51" i="1"/>
  <c r="V51" i="1"/>
  <c r="U51" i="1"/>
  <c r="T51" i="1"/>
  <c r="R51" i="1"/>
  <c r="Q51" i="1"/>
  <c r="P51" i="1"/>
  <c r="M51" i="1"/>
  <c r="K51" i="1"/>
  <c r="Z50" i="1"/>
  <c r="V50" i="1"/>
  <c r="U50" i="1"/>
  <c r="T50" i="1"/>
  <c r="R50" i="1"/>
  <c r="Q50" i="1"/>
  <c r="P50" i="1"/>
  <c r="M50" i="1"/>
  <c r="K50" i="1"/>
  <c r="Z49" i="1"/>
  <c r="V49" i="1"/>
  <c r="U49" i="1"/>
  <c r="T49" i="1"/>
  <c r="R49" i="1"/>
  <c r="Q49" i="1"/>
  <c r="P49" i="1"/>
  <c r="M49" i="1"/>
  <c r="K49" i="1"/>
  <c r="Z48" i="1"/>
  <c r="V48" i="1"/>
  <c r="U48" i="1"/>
  <c r="T48" i="1"/>
  <c r="R48" i="1"/>
  <c r="Q48" i="1"/>
  <c r="P48" i="1"/>
  <c r="M48" i="1"/>
  <c r="K48" i="1"/>
  <c r="Z47" i="1"/>
  <c r="V47" i="1"/>
  <c r="U47" i="1"/>
  <c r="T47" i="1"/>
  <c r="R47" i="1"/>
  <c r="Q47" i="1"/>
  <c r="P47" i="1"/>
  <c r="M47" i="1"/>
  <c r="K47" i="1"/>
  <c r="Z46" i="1"/>
  <c r="V46" i="1"/>
  <c r="U46" i="1"/>
  <c r="T46" i="1"/>
  <c r="R46" i="1"/>
  <c r="Q46" i="1"/>
  <c r="P46" i="1"/>
  <c r="K46" i="1"/>
  <c r="Z45" i="1"/>
  <c r="V45" i="1"/>
  <c r="U45" i="1"/>
  <c r="T45" i="1"/>
  <c r="R45" i="1"/>
  <c r="Q45" i="1"/>
  <c r="P45" i="1"/>
  <c r="M45" i="1"/>
  <c r="K45" i="1"/>
  <c r="Z44" i="1"/>
  <c r="V44" i="1"/>
  <c r="U44" i="1"/>
  <c r="T44" i="1"/>
  <c r="R44" i="1"/>
  <c r="Q44" i="1"/>
  <c r="P44" i="1"/>
  <c r="M44" i="1"/>
  <c r="K44" i="1"/>
  <c r="Z43" i="1"/>
  <c r="V43" i="1"/>
  <c r="U43" i="1"/>
  <c r="T43" i="1"/>
  <c r="R43" i="1"/>
  <c r="Q43" i="1"/>
  <c r="P43" i="1"/>
  <c r="K43" i="1"/>
  <c r="Z42" i="1"/>
  <c r="V42" i="1"/>
  <c r="U42" i="1"/>
  <c r="T42" i="1"/>
  <c r="R42" i="1"/>
  <c r="Q42" i="1"/>
  <c r="P42" i="1"/>
  <c r="M42" i="1"/>
  <c r="K42" i="1"/>
  <c r="Z41" i="1"/>
  <c r="V41" i="1"/>
  <c r="U41" i="1"/>
  <c r="T41" i="1"/>
  <c r="R41" i="1"/>
  <c r="Q41" i="1"/>
  <c r="P41" i="1"/>
  <c r="M41" i="1"/>
  <c r="K41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P13" i="1"/>
  <c r="AE13" i="1" s="1"/>
  <c r="P14" i="1"/>
  <c r="AE14" i="1" s="1"/>
  <c r="P15" i="1"/>
  <c r="AE15" i="1" s="1"/>
  <c r="P16" i="1"/>
  <c r="AE16" i="1" s="1"/>
  <c r="P17" i="1"/>
  <c r="AE17" i="1" s="1"/>
  <c r="P18" i="1"/>
  <c r="AE18" i="1" s="1"/>
  <c r="P19" i="1"/>
  <c r="AE19" i="1" s="1"/>
  <c r="P20" i="1"/>
  <c r="AE20" i="1" s="1"/>
  <c r="P21" i="1"/>
  <c r="AE21" i="1" s="1"/>
  <c r="P22" i="1"/>
  <c r="AE22" i="1" s="1"/>
  <c r="P23" i="1"/>
  <c r="AE23" i="1" s="1"/>
  <c r="P24" i="1"/>
  <c r="AE24" i="1" s="1"/>
  <c r="P25" i="1"/>
  <c r="AE25" i="1" s="1"/>
  <c r="P26" i="1"/>
  <c r="AE26" i="1" s="1"/>
  <c r="P27" i="1"/>
  <c r="AE27" i="1" s="1"/>
  <c r="P28" i="1"/>
  <c r="AE28" i="1" s="1"/>
  <c r="P29" i="1"/>
  <c r="AE29" i="1" s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P12" i="1"/>
  <c r="AE12" i="1" s="1"/>
  <c r="Q12" i="1"/>
  <c r="R12" i="1"/>
  <c r="T12" i="1"/>
  <c r="U12" i="1"/>
  <c r="V12" i="1"/>
  <c r="X12" i="1"/>
  <c r="Z12" i="1"/>
  <c r="J12" i="1"/>
  <c r="K12" i="1"/>
  <c r="X11" i="1"/>
  <c r="Z11" i="1"/>
  <c r="U11" i="1"/>
  <c r="AJ11" i="1" s="1"/>
  <c r="T11" i="1"/>
  <c r="Q11" i="1"/>
  <c r="J11" i="1"/>
  <c r="P11" i="1"/>
  <c r="AE11" i="1" s="1"/>
  <c r="V11" i="1"/>
  <c r="M12" i="1"/>
  <c r="M11" i="1"/>
  <c r="R11" i="1"/>
  <c r="O11" i="1"/>
  <c r="AG23" i="1" l="1"/>
  <c r="AI23" i="1"/>
  <c r="AG22" i="1"/>
  <c r="AI22" i="1"/>
  <c r="AG12" i="1"/>
  <c r="AI12" i="1"/>
  <c r="AG21" i="1"/>
  <c r="AI21" i="1"/>
  <c r="AJ21" i="1" s="1"/>
  <c r="AG20" i="1"/>
  <c r="AI20" i="1"/>
  <c r="AJ20" i="1" s="1"/>
  <c r="AG19" i="1"/>
  <c r="AI19" i="1"/>
  <c r="AJ19" i="1" s="1"/>
  <c r="AJ27" i="1"/>
  <c r="AJ15" i="1"/>
  <c r="AG18" i="1"/>
  <c r="AI18" i="1"/>
  <c r="AJ18" i="1" s="1"/>
  <c r="AG29" i="1"/>
  <c r="AI29" i="1"/>
  <c r="AJ29" i="1" s="1"/>
  <c r="AG17" i="1"/>
  <c r="AI17" i="1"/>
  <c r="AJ17" i="1" s="1"/>
  <c r="AJ25" i="1"/>
  <c r="AJ13" i="1"/>
  <c r="AG28" i="1"/>
  <c r="AI28" i="1"/>
  <c r="AJ28" i="1" s="1"/>
  <c r="AG16" i="1"/>
  <c r="AI16" i="1"/>
  <c r="AJ16" i="1" s="1"/>
  <c r="AG27" i="1"/>
  <c r="AI27" i="1"/>
  <c r="AG15" i="1"/>
  <c r="AI15" i="1"/>
  <c r="AJ23" i="1"/>
  <c r="AG26" i="1"/>
  <c r="AI26" i="1"/>
  <c r="AJ26" i="1" s="1"/>
  <c r="AG14" i="1"/>
  <c r="AI14" i="1"/>
  <c r="AJ14" i="1" s="1"/>
  <c r="AJ22" i="1"/>
  <c r="AJ12" i="1"/>
  <c r="AG25" i="1"/>
  <c r="AI25" i="1"/>
  <c r="AG13" i="1"/>
  <c r="AI13" i="1"/>
  <c r="AG24" i="1"/>
  <c r="AI24" i="1"/>
  <c r="AF11" i="1"/>
  <c r="AG11" i="1"/>
  <c r="AH11" i="1" s="1"/>
  <c r="AA42" i="1"/>
  <c r="AC42" i="1" s="1"/>
  <c r="AA43" i="1"/>
  <c r="AC43" i="1" s="1"/>
  <c r="O41" i="1"/>
  <c r="O43" i="1"/>
  <c r="O48" i="1"/>
  <c r="AA41" i="1"/>
  <c r="AC41" i="1" s="1"/>
  <c r="O42" i="1"/>
  <c r="O46" i="1"/>
  <c r="O45" i="1"/>
  <c r="O54" i="1"/>
  <c r="M43" i="1"/>
  <c r="Y43" i="1" s="1"/>
  <c r="AB43" i="1" s="1"/>
  <c r="O44" i="1"/>
  <c r="Y44" i="1"/>
  <c r="AB44" i="1" s="1"/>
  <c r="O55" i="1"/>
  <c r="AA47" i="1"/>
  <c r="AC47" i="1" s="1"/>
  <c r="O57" i="1"/>
  <c r="AA50" i="1"/>
  <c r="AC50" i="1" s="1"/>
  <c r="O47" i="1"/>
  <c r="AA49" i="1"/>
  <c r="AC49" i="1" s="1"/>
  <c r="AA46" i="1"/>
  <c r="AC46" i="1" s="1"/>
  <c r="O56" i="1"/>
  <c r="Y53" i="1"/>
  <c r="AB53" i="1" s="1"/>
  <c r="O53" i="1"/>
  <c r="O52" i="1"/>
  <c r="O51" i="1"/>
  <c r="AA48" i="1"/>
  <c r="AC48" i="1" s="1"/>
  <c r="O50" i="1"/>
  <c r="O59" i="1"/>
  <c r="Y54" i="1"/>
  <c r="AB54" i="1" s="1"/>
  <c r="Y51" i="1"/>
  <c r="AB51" i="1" s="1"/>
  <c r="M46" i="1"/>
  <c r="Y46" i="1" s="1"/>
  <c r="AB46" i="1" s="1"/>
  <c r="O49" i="1"/>
  <c r="O58" i="1"/>
  <c r="AA55" i="1"/>
  <c r="AC55" i="1" s="1"/>
  <c r="AA57" i="1"/>
  <c r="AC57" i="1" s="1"/>
  <c r="AA56" i="1"/>
  <c r="AC56" i="1" s="1"/>
  <c r="AA45" i="1"/>
  <c r="AC45" i="1" s="1"/>
  <c r="Y59" i="1"/>
  <c r="AB59" i="1" s="1"/>
  <c r="Y52" i="1"/>
  <c r="AB52" i="1" s="1"/>
  <c r="Y58" i="1"/>
  <c r="AB58" i="1" s="1"/>
  <c r="AA59" i="1"/>
  <c r="AC59" i="1" s="1"/>
  <c r="Y41" i="1"/>
  <c r="AB41" i="1" s="1"/>
  <c r="Y56" i="1"/>
  <c r="AB56" i="1" s="1"/>
  <c r="AA52" i="1"/>
  <c r="AC52" i="1" s="1"/>
  <c r="AA54" i="1"/>
  <c r="AC54" i="1" s="1"/>
  <c r="Y45" i="1"/>
  <c r="AB45" i="1" s="1"/>
  <c r="Y47" i="1"/>
  <c r="AB47" i="1" s="1"/>
  <c r="Y48" i="1"/>
  <c r="AB48" i="1" s="1"/>
  <c r="Y50" i="1"/>
  <c r="AB50" i="1" s="1"/>
  <c r="AA58" i="1"/>
  <c r="AC58" i="1" s="1"/>
  <c r="Y42" i="1"/>
  <c r="AB42" i="1" s="1"/>
  <c r="Y49" i="1"/>
  <c r="AB49" i="1" s="1"/>
  <c r="Y55" i="1"/>
  <c r="AB55" i="1" s="1"/>
  <c r="Y57" i="1"/>
  <c r="AB57" i="1" s="1"/>
  <c r="AA44" i="1"/>
  <c r="AC44" i="1" s="1"/>
  <c r="AA51" i="1"/>
  <c r="AC51" i="1" s="1"/>
  <c r="AA53" i="1"/>
  <c r="AC53" i="1" s="1"/>
  <c r="AA12" i="1"/>
  <c r="AC12" i="1" s="1"/>
  <c r="AA23" i="1"/>
  <c r="AC23" i="1" s="1"/>
  <c r="AA22" i="1"/>
  <c r="AC22" i="1" s="1"/>
  <c r="AA27" i="1"/>
  <c r="AC27" i="1" s="1"/>
  <c r="O27" i="1"/>
  <c r="AF27" i="1" s="1"/>
  <c r="AA20" i="1"/>
  <c r="AC20" i="1" s="1"/>
  <c r="AA26" i="1"/>
  <c r="AC26" i="1" s="1"/>
  <c r="AA15" i="1"/>
  <c r="AC15" i="1" s="1"/>
  <c r="AA29" i="1"/>
  <c r="AC29" i="1" s="1"/>
  <c r="AA28" i="1"/>
  <c r="AC28" i="1" s="1"/>
  <c r="AA16" i="1"/>
  <c r="AC16" i="1" s="1"/>
  <c r="AA19" i="1"/>
  <c r="AC19" i="1" s="1"/>
  <c r="AA25" i="1"/>
  <c r="AC25" i="1" s="1"/>
  <c r="Y14" i="1"/>
  <c r="AB14" i="1" s="1"/>
  <c r="O17" i="1"/>
  <c r="AF17" i="1" s="1"/>
  <c r="Y12" i="1"/>
  <c r="AB12" i="1" s="1"/>
  <c r="O29" i="1"/>
  <c r="AF29" i="1" s="1"/>
  <c r="AA17" i="1"/>
  <c r="AC17" i="1" s="1"/>
  <c r="O28" i="1"/>
  <c r="AF28" i="1" s="1"/>
  <c r="Y21" i="1"/>
  <c r="AB21" i="1" s="1"/>
  <c r="AA18" i="1"/>
  <c r="AC18" i="1" s="1"/>
  <c r="AA24" i="1"/>
  <c r="AC24" i="1" s="1"/>
  <c r="Y13" i="1"/>
  <c r="AB13" i="1" s="1"/>
  <c r="O16" i="1"/>
  <c r="AF16" i="1" s="1"/>
  <c r="Y29" i="1"/>
  <c r="AB29" i="1" s="1"/>
  <c r="Y28" i="1"/>
  <c r="AB28" i="1" s="1"/>
  <c r="Y17" i="1"/>
  <c r="AB17" i="1" s="1"/>
  <c r="Y27" i="1"/>
  <c r="AB27" i="1" s="1"/>
  <c r="Y26" i="1"/>
  <c r="AB26" i="1" s="1"/>
  <c r="Y25" i="1"/>
  <c r="AB25" i="1" s="1"/>
  <c r="AA14" i="1"/>
  <c r="AC14" i="1" s="1"/>
  <c r="Y23" i="1"/>
  <c r="AB23" i="1" s="1"/>
  <c r="O22" i="1"/>
  <c r="AF22" i="1" s="1"/>
  <c r="AA21" i="1"/>
  <c r="AC21" i="1" s="1"/>
  <c r="O20" i="1"/>
  <c r="AF20" i="1" s="1"/>
  <c r="Y20" i="1"/>
  <c r="AB20" i="1" s="1"/>
  <c r="O26" i="1"/>
  <c r="AF26" i="1" s="1"/>
  <c r="O15" i="1"/>
  <c r="Y15" i="1"/>
  <c r="AB15" i="1" s="1"/>
  <c r="O14" i="1"/>
  <c r="O12" i="1"/>
  <c r="AF12" i="1" s="1"/>
  <c r="O24" i="1"/>
  <c r="Y24" i="1"/>
  <c r="AB24" i="1" s="1"/>
  <c r="AA13" i="1"/>
  <c r="AC13" i="1" s="1"/>
  <c r="O23" i="1"/>
  <c r="AF23" i="1" s="1"/>
  <c r="Y22" i="1"/>
  <c r="AB22" i="1" s="1"/>
  <c r="O21" i="1"/>
  <c r="AF21" i="1" s="1"/>
  <c r="O19" i="1"/>
  <c r="AF19" i="1" s="1"/>
  <c r="Y19" i="1"/>
  <c r="AB19" i="1" s="1"/>
  <c r="Y16" i="1"/>
  <c r="AB16" i="1" s="1"/>
  <c r="O25" i="1"/>
  <c r="AH25" i="1" s="1"/>
  <c r="O13" i="1"/>
  <c r="AH13" i="1" s="1"/>
  <c r="O18" i="1"/>
  <c r="AF18" i="1" s="1"/>
  <c r="Y18" i="1"/>
  <c r="AB18" i="1" s="1"/>
  <c r="Y11" i="1"/>
  <c r="AB11" i="1" s="1"/>
  <c r="AA11" i="1"/>
  <c r="AC11" i="1" s="1"/>
  <c r="AJ24" i="1" l="1"/>
  <c r="AH24" i="1"/>
  <c r="AF24" i="1"/>
  <c r="AH18" i="1"/>
  <c r="AD26" i="1"/>
  <c r="AH14" i="1"/>
  <c r="AH15" i="1"/>
  <c r="AF13" i="1"/>
  <c r="AH28" i="1"/>
  <c r="AH12" i="1"/>
  <c r="AD53" i="1"/>
  <c r="AF15" i="1"/>
  <c r="AH26" i="1"/>
  <c r="AH16" i="1"/>
  <c r="AH19" i="1"/>
  <c r="AH21" i="1"/>
  <c r="AD41" i="1"/>
  <c r="AF14" i="1"/>
  <c r="AH29" i="1"/>
  <c r="AH20" i="1"/>
  <c r="AH27" i="1"/>
  <c r="AH23" i="1"/>
  <c r="AH22" i="1"/>
  <c r="AH17" i="1"/>
  <c r="AF25" i="1"/>
  <c r="AD27" i="1"/>
  <c r="AD59" i="1"/>
  <c r="AD25" i="1"/>
  <c r="AD42" i="1"/>
  <c r="AD43" i="1"/>
  <c r="AD54" i="1"/>
  <c r="AD52" i="1"/>
  <c r="AD44" i="1"/>
  <c r="AD56" i="1"/>
  <c r="AD19" i="1"/>
  <c r="AD12" i="1"/>
  <c r="AD57" i="1"/>
  <c r="AD55" i="1"/>
  <c r="AD49" i="1"/>
  <c r="AD46" i="1"/>
  <c r="AD50" i="1"/>
  <c r="AD47" i="1"/>
  <c r="AD48" i="1"/>
  <c r="AD11" i="1"/>
  <c r="AD13" i="1"/>
  <c r="AD23" i="1"/>
  <c r="AD51" i="1"/>
  <c r="AD45" i="1"/>
  <c r="AD14" i="1"/>
  <c r="AD58" i="1"/>
  <c r="AD16" i="1"/>
  <c r="AD24" i="1"/>
  <c r="AD17" i="1"/>
  <c r="AD28" i="1"/>
  <c r="AD29" i="1"/>
  <c r="AD21" i="1"/>
  <c r="AD18" i="1"/>
  <c r="AD15" i="1"/>
  <c r="AD20" i="1"/>
  <c r="AD22" i="1"/>
</calcChain>
</file>

<file path=xl/sharedStrings.xml><?xml version="1.0" encoding="utf-8"?>
<sst xmlns="http://schemas.openxmlformats.org/spreadsheetml/2006/main" count="377" uniqueCount="110">
  <si>
    <t>Livestock type</t>
  </si>
  <si>
    <t>Class</t>
  </si>
  <si>
    <t>Nj</t>
  </si>
  <si>
    <t>Buffalo</t>
  </si>
  <si>
    <t>Bulls</t>
  </si>
  <si>
    <t>Cows</t>
  </si>
  <si>
    <t>Steers</t>
  </si>
  <si>
    <t>Calves</t>
  </si>
  <si>
    <t>Bucks/Billy</t>
  </si>
  <si>
    <t>Wethers</t>
  </si>
  <si>
    <t>Breeding does/nannies</t>
  </si>
  <si>
    <t>Other</t>
  </si>
  <si>
    <t>Kids</t>
  </si>
  <si>
    <t>Bucks</t>
  </si>
  <si>
    <t>Breeding Does</t>
  </si>
  <si>
    <t>Other Does</t>
  </si>
  <si>
    <t>Fawn</t>
  </si>
  <si>
    <t>Camels</t>
  </si>
  <si>
    <t>Alpacas</t>
  </si>
  <si>
    <t>Horses</t>
  </si>
  <si>
    <t>Mules/asses</t>
  </si>
  <si>
    <t>Emus/Ostriches</t>
  </si>
  <si>
    <t>Deer</t>
  </si>
  <si>
    <t>Goats</t>
  </si>
  <si>
    <t>MCF</t>
  </si>
  <si>
    <t>Methane coversion factor</t>
  </si>
  <si>
    <t>ACT</t>
  </si>
  <si>
    <t>Uncovered anaerobic lagoon</t>
  </si>
  <si>
    <t>MCF pasture</t>
  </si>
  <si>
    <t>MCF by climate zone</t>
  </si>
  <si>
    <t>MAT</t>
  </si>
  <si>
    <t>Climate zone</t>
  </si>
  <si>
    <t>State</t>
  </si>
  <si>
    <t>VSj</t>
  </si>
  <si>
    <t>Appendix A.1.5.2</t>
  </si>
  <si>
    <t>Stock excluded</t>
  </si>
  <si>
    <t>Cn2o</t>
  </si>
  <si>
    <t>p</t>
  </si>
  <si>
    <t>EFprp</t>
  </si>
  <si>
    <t>wet</t>
  </si>
  <si>
    <t>dry</t>
  </si>
  <si>
    <t>is wet climate zone</t>
  </si>
  <si>
    <t>NEj</t>
  </si>
  <si>
    <t>EFn2o</t>
  </si>
  <si>
    <t>Leaching zone</t>
  </si>
  <si>
    <t>FracWET</t>
  </si>
  <si>
    <t>FracGASMsoil</t>
  </si>
  <si>
    <t>FracLEACH</t>
  </si>
  <si>
    <t>EFleach</t>
  </si>
  <si>
    <t>Average annual head</t>
  </si>
  <si>
    <t>Ech4</t>
  </si>
  <si>
    <t>4.7 1704</t>
  </si>
  <si>
    <r>
      <t xml:space="preserve">𝑀 </t>
    </r>
    <r>
      <rPr>
        <sz val="8"/>
        <color rgb="FF000000"/>
        <rFont val="Helvetica"/>
        <family val="2"/>
      </rPr>
      <t xml:space="preserve">𝑗𝑚 </t>
    </r>
    <r>
      <rPr>
        <sz val="11"/>
        <color rgb="FF000000"/>
        <rFont val="Helvetica"/>
        <family val="2"/>
      </rPr>
      <t xml:space="preserve">= 𝑉𝑆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 × 𝐵</t>
    </r>
    <r>
      <rPr>
        <sz val="8"/>
        <color rgb="FF000000"/>
        <rFont val="Helvetica"/>
        <family val="2"/>
      </rPr>
      <t xml:space="preserve">𝑂 </t>
    </r>
    <r>
      <rPr>
        <sz val="11"/>
        <color rgb="FF000000"/>
        <rFont val="Helvetica"/>
        <family val="2"/>
      </rPr>
      <t>× 𝑀𝑀𝑆</t>
    </r>
    <r>
      <rPr>
        <sz val="8"/>
        <color rgb="FF000000"/>
        <rFont val="Helvetica"/>
        <family val="2"/>
      </rPr>
      <t>𝑚</t>
    </r>
    <r>
      <rPr>
        <sz val="11"/>
        <color rgb="FF000000"/>
        <rFont val="Helvetica"/>
        <family val="2"/>
      </rPr>
      <t xml:space="preserve"> × 𝑀𝐶𝐹 </t>
    </r>
    <r>
      <rPr>
        <sz val="8"/>
        <color rgb="FF000000"/>
        <rFont val="Helvetica"/>
        <family val="2"/>
      </rPr>
      <t xml:space="preserve">𝑖𝑚 </t>
    </r>
    <r>
      <rPr>
        <sz val="11"/>
        <color rgb="FF000000"/>
        <rFont val="Helvetica"/>
        <family val="2"/>
      </rPr>
      <t>× 𝜌</t>
    </r>
  </si>
  <si>
    <t>MMSm=14</t>
  </si>
  <si>
    <t>MMSm=1</t>
  </si>
  <si>
    <t>yes</t>
  </si>
  <si>
    <t>no</t>
  </si>
  <si>
    <t>Mjm=14</t>
  </si>
  <si>
    <t>Mjm=1</t>
  </si>
  <si>
    <t>Bo</t>
  </si>
  <si>
    <t>MCFim=1</t>
  </si>
  <si>
    <t>MCFim=14</t>
  </si>
  <si>
    <t>Emus/ostriches</t>
  </si>
  <si>
    <t>NSW</t>
  </si>
  <si>
    <t>NT</t>
  </si>
  <si>
    <t>QLD</t>
  </si>
  <si>
    <t>SA</t>
  </si>
  <si>
    <t>TAS</t>
  </si>
  <si>
    <t>VIC</t>
  </si>
  <si>
    <t>WA</t>
  </si>
  <si>
    <t>constant</t>
  </si>
  <si>
    <t>Pasture type</t>
  </si>
  <si>
    <t>Irrigated crop</t>
  </si>
  <si>
    <t>Irrigated pasture</t>
  </si>
  <si>
    <t>Non-irrigated pasture</t>
  </si>
  <si>
    <t>Non-irrigated crop (low rainfall)</t>
  </si>
  <si>
    <t>Non-irrigated crop (high rainfall)</t>
  </si>
  <si>
    <t>Sugar</t>
  </si>
  <si>
    <t>Cotton</t>
  </si>
  <si>
    <t>Horticultural crops</t>
  </si>
  <si>
    <t>Aquaculture</t>
  </si>
  <si>
    <t>Rice (continuous flooding)</t>
  </si>
  <si>
    <t>Rice (partial flooding)</t>
  </si>
  <si>
    <t>Forestry</t>
  </si>
  <si>
    <t>Ech4m=1</t>
  </si>
  <si>
    <t>Ech4m=14</t>
  </si>
  <si>
    <t>input</t>
  </si>
  <si>
    <t>FracGASMSoil</t>
  </si>
  <si>
    <t>Temperature zone</t>
  </si>
  <si>
    <t>input (method 2)</t>
  </si>
  <si>
    <t>10 or below</t>
  </si>
  <si>
    <t>28 or above</t>
  </si>
  <si>
    <t>En2o,dir</t>
  </si>
  <si>
    <t>AE</t>
  </si>
  <si>
    <t>Tropical montane</t>
  </si>
  <si>
    <t>Tropical wet</t>
  </si>
  <si>
    <t>Tropical moist</t>
  </si>
  <si>
    <t>Warm temperate moist</t>
  </si>
  <si>
    <t>Cool temperate moist</t>
  </si>
  <si>
    <t>Boreal moist</t>
  </si>
  <si>
    <t>Tropical dry</t>
  </si>
  <si>
    <t>Warm temperate dry</t>
  </si>
  <si>
    <t>Cool temperate dry</t>
  </si>
  <si>
    <t>Boreal dry</t>
  </si>
  <si>
    <t>En2o,ad</t>
  </si>
  <si>
    <t>Mvol</t>
  </si>
  <si>
    <t>expression</t>
  </si>
  <si>
    <t>En2o,leach</t>
  </si>
  <si>
    <t>Mleach</t>
  </si>
  <si>
    <t>Maiden breeding does/nannies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</si>
</sst>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6" fillId="0" borderId="0" xfId="0" applyFont="1"/>
    <xf numFmtId="0" fontId="3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AS64"/>
  <sheetViews>
    <sheetView tabSelected="1" topLeftCell="AH1" workbookViewId="0">
      <selection activeCell="AQ6" sqref="AQ6"/>
    </sheetView>
  </sheetViews>
  <sheetFormatPr baseColWidth="10" defaultRowHeight="16"/>
  <cols>
    <col min="1" max="1" width="17.33203125" style="3" customWidth="1"/>
    <col min="2" max="2" width="22.6640625" bestFit="1" customWidth="1"/>
    <col min="3" max="3" width="17.83203125" bestFit="1" customWidth="1"/>
    <col min="4" max="4" width="26.6640625" customWidth="1"/>
    <col min="5" max="5" width="29.6640625" customWidth="1"/>
    <col min="6" max="7" width="15.83203125" customWidth="1"/>
    <col min="8" max="8" width="12.1640625" customWidth="1"/>
    <col min="9" max="9" width="5.5" bestFit="1" customWidth="1"/>
    <col min="10" max="11" width="8.33203125" bestFit="1" customWidth="1"/>
    <col min="12" max="12" width="13.33203125" bestFit="1" customWidth="1"/>
    <col min="13" max="13" width="8.6640625" bestFit="1" customWidth="1"/>
    <col min="14" max="14" width="9.6640625" bestFit="1" customWidth="1"/>
    <col min="15" max="15" width="12.1640625" bestFit="1" customWidth="1"/>
    <col min="16" max="18" width="8.33203125" bestFit="1" customWidth="1"/>
    <col min="19" max="19" width="12.6640625" bestFit="1" customWidth="1"/>
    <col min="20" max="20" width="10.33203125" bestFit="1" customWidth="1"/>
    <col min="21" max="22" width="8.33203125" bestFit="1" customWidth="1"/>
    <col min="23" max="23" width="8.33203125" customWidth="1"/>
    <col min="24" max="24" width="9" bestFit="1" customWidth="1"/>
    <col min="25" max="25" width="6.6640625" bestFit="1" customWidth="1"/>
    <col min="26" max="26" width="10" bestFit="1" customWidth="1"/>
    <col min="27" max="27" width="19.33203125" customWidth="1"/>
    <col min="28" max="28" width="8.6640625" bestFit="1" customWidth="1"/>
    <col min="29" max="30" width="12.1640625" bestFit="1" customWidth="1"/>
    <col min="31" max="31" width="12.1640625" customWidth="1"/>
    <col min="32" max="37" width="16.5" customWidth="1"/>
    <col min="39" max="40" width="16" customWidth="1"/>
    <col min="42" max="42" width="36" customWidth="1"/>
    <col min="44" max="44" width="35.83203125" bestFit="1" customWidth="1"/>
  </cols>
  <sheetData>
    <row r="1" spans="1:45">
      <c r="AN1" s="1"/>
    </row>
    <row r="2" spans="1:45">
      <c r="AN2" s="1"/>
    </row>
    <row r="3" spans="1:45">
      <c r="I3" s="1"/>
      <c r="J3" s="1"/>
      <c r="K3" s="1"/>
      <c r="L3" s="1"/>
      <c r="M3" s="1"/>
      <c r="N3" s="1"/>
      <c r="AA3" s="1" t="s">
        <v>52</v>
      </c>
      <c r="AB3" s="1"/>
      <c r="AC3" s="1"/>
      <c r="AM3" t="s">
        <v>46</v>
      </c>
      <c r="AN3">
        <v>0.21</v>
      </c>
      <c r="AP3" s="7" t="s">
        <v>47</v>
      </c>
      <c r="AQ3">
        <v>0.24</v>
      </c>
    </row>
    <row r="4" spans="1:45">
      <c r="C4">
        <v>1776</v>
      </c>
      <c r="F4">
        <v>1779</v>
      </c>
      <c r="G4">
        <v>1789</v>
      </c>
      <c r="J4">
        <v>1783</v>
      </c>
      <c r="K4">
        <v>383</v>
      </c>
      <c r="M4">
        <v>1785</v>
      </c>
      <c r="N4">
        <v>1785</v>
      </c>
      <c r="O4">
        <v>1786</v>
      </c>
      <c r="P4">
        <v>1790</v>
      </c>
      <c r="Q4">
        <v>1791</v>
      </c>
      <c r="R4">
        <v>1792</v>
      </c>
      <c r="S4">
        <v>1794</v>
      </c>
      <c r="T4">
        <v>1796</v>
      </c>
      <c r="U4">
        <v>1797</v>
      </c>
      <c r="V4">
        <v>1787</v>
      </c>
      <c r="W4">
        <v>1789</v>
      </c>
      <c r="X4">
        <v>1779</v>
      </c>
      <c r="Z4">
        <v>1779</v>
      </c>
      <c r="AA4" t="s">
        <v>51</v>
      </c>
      <c r="AG4">
        <v>1753</v>
      </c>
      <c r="AM4" t="s">
        <v>36</v>
      </c>
      <c r="AN4">
        <f>[1]!common_cn2o</f>
        <v>1.57</v>
      </c>
      <c r="AP4" t="s">
        <v>48</v>
      </c>
      <c r="AQ4">
        <v>1.0999999999999999E-2</v>
      </c>
    </row>
    <row r="5" spans="1:45">
      <c r="C5" t="s">
        <v>86</v>
      </c>
      <c r="F5" t="s">
        <v>89</v>
      </c>
      <c r="J5" t="s">
        <v>70</v>
      </c>
      <c r="K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Z5" t="s">
        <v>70</v>
      </c>
      <c r="AG5" t="s">
        <v>106</v>
      </c>
      <c r="AM5" t="s">
        <v>37</v>
      </c>
      <c r="AN5">
        <v>0.6784</v>
      </c>
      <c r="AP5" t="s">
        <v>59</v>
      </c>
      <c r="AQ5">
        <v>0.19</v>
      </c>
    </row>
    <row r="6" spans="1:45">
      <c r="A6" s="2"/>
      <c r="B6" s="2"/>
      <c r="AL6" t="s">
        <v>38</v>
      </c>
      <c r="AM6" t="s">
        <v>39</v>
      </c>
      <c r="AN6">
        <v>6.0000000000000001E-3</v>
      </c>
    </row>
    <row r="7" spans="1:45">
      <c r="AM7" t="s">
        <v>40</v>
      </c>
      <c r="AN7">
        <v>2E-3</v>
      </c>
      <c r="AP7" s="2"/>
      <c r="AQ7" s="2"/>
    </row>
    <row r="8" spans="1:45">
      <c r="AP8" s="2"/>
      <c r="AQ8" s="2"/>
    </row>
    <row r="9" spans="1:45">
      <c r="A9" s="4"/>
      <c r="C9" t="s">
        <v>49</v>
      </c>
      <c r="AN9" t="s">
        <v>34</v>
      </c>
      <c r="AP9" s="2"/>
      <c r="AQ9" s="2"/>
      <c r="AS9" t="s">
        <v>43</v>
      </c>
    </row>
    <row r="10" spans="1:45" ht="17">
      <c r="A10" s="5" t="s">
        <v>0</v>
      </c>
      <c r="B10" s="8" t="s">
        <v>1</v>
      </c>
      <c r="C10" s="6" t="s">
        <v>2</v>
      </c>
      <c r="D10" s="6" t="s">
        <v>44</v>
      </c>
      <c r="E10" s="6" t="s">
        <v>71</v>
      </c>
      <c r="F10" t="s">
        <v>88</v>
      </c>
      <c r="G10" s="6" t="s">
        <v>31</v>
      </c>
      <c r="H10" t="s">
        <v>41</v>
      </c>
      <c r="I10" t="s">
        <v>32</v>
      </c>
      <c r="J10" t="s">
        <v>33</v>
      </c>
      <c r="K10" t="s">
        <v>59</v>
      </c>
      <c r="L10" s="6" t="s">
        <v>35</v>
      </c>
      <c r="M10" t="s">
        <v>54</v>
      </c>
      <c r="N10" t="s">
        <v>53</v>
      </c>
      <c r="O10" t="s">
        <v>36</v>
      </c>
      <c r="P10" t="s">
        <v>42</v>
      </c>
      <c r="Q10" t="s">
        <v>43</v>
      </c>
      <c r="R10" t="s">
        <v>45</v>
      </c>
      <c r="S10" t="s">
        <v>87</v>
      </c>
      <c r="T10" t="s">
        <v>47</v>
      </c>
      <c r="U10" t="s">
        <v>48</v>
      </c>
      <c r="V10" t="s">
        <v>37</v>
      </c>
      <c r="W10" t="s">
        <v>38</v>
      </c>
      <c r="X10" t="s">
        <v>60</v>
      </c>
      <c r="Y10" t="s">
        <v>58</v>
      </c>
      <c r="Z10" t="s">
        <v>61</v>
      </c>
      <c r="AA10" t="s">
        <v>57</v>
      </c>
      <c r="AB10" t="s">
        <v>84</v>
      </c>
      <c r="AC10" t="s">
        <v>85</v>
      </c>
      <c r="AD10" s="9" t="s">
        <v>50</v>
      </c>
      <c r="AE10" t="s">
        <v>93</v>
      </c>
      <c r="AF10" s="9" t="s">
        <v>92</v>
      </c>
      <c r="AG10" t="s">
        <v>105</v>
      </c>
      <c r="AH10" s="9" t="s">
        <v>104</v>
      </c>
      <c r="AI10" t="s">
        <v>108</v>
      </c>
      <c r="AJ10" s="9" t="s">
        <v>107</v>
      </c>
      <c r="AM10" t="s">
        <v>33</v>
      </c>
      <c r="AN10" t="s">
        <v>33</v>
      </c>
      <c r="AO10" t="s">
        <v>42</v>
      </c>
      <c r="AP10" s="2"/>
      <c r="AQ10" s="2"/>
      <c r="AR10" s="2" t="s">
        <v>73</v>
      </c>
      <c r="AS10" s="2">
        <v>5.8999999999999999E-3</v>
      </c>
    </row>
    <row r="11" spans="1:45" ht="17">
      <c r="A11" s="3" t="s">
        <v>3</v>
      </c>
      <c r="B11" s="2" t="s">
        <v>4</v>
      </c>
      <c r="C11">
        <v>5</v>
      </c>
      <c r="D11" t="s">
        <v>55</v>
      </c>
      <c r="E11" t="s">
        <v>72</v>
      </c>
      <c r="G11" t="s">
        <v>94</v>
      </c>
      <c r="H11" t="str">
        <f>VLOOKUP(G11,$AR$31:$AS$40,2,FALSE)</f>
        <v>wet</v>
      </c>
      <c r="I11" t="s">
        <v>65</v>
      </c>
      <c r="J11">
        <f>VLOOKUP(A11, $AM$11:$AN$18,2,FALSE)</f>
        <v>2.73</v>
      </c>
      <c r="K11">
        <f>$AQ$5</f>
        <v>0.19</v>
      </c>
      <c r="L11" t="s">
        <v>55</v>
      </c>
      <c r="M11">
        <f>1-N11</f>
        <v>0</v>
      </c>
      <c r="N11">
        <f>IF(L11="yes", 1, 0.9966)</f>
        <v>1</v>
      </c>
      <c r="O11">
        <f t="shared" ref="O11:O29" si="0">$AN$4</f>
        <v>1.57</v>
      </c>
      <c r="P11">
        <f>VLOOKUP(A11, $AM$11:$AO$18,3,FALSE)</f>
        <v>39.5</v>
      </c>
      <c r="Q11">
        <f>VLOOKUP(E11,$AR$10:$AS$22,2,FALSE)</f>
        <v>7.0000000000000001E-3</v>
      </c>
      <c r="R11">
        <f>IF(D11="yes", 1, 0)</f>
        <v>1</v>
      </c>
      <c r="S11">
        <f>$AN$3</f>
        <v>0.21</v>
      </c>
      <c r="T11">
        <f t="shared" ref="T11:T29" si="1">$AQ$3</f>
        <v>0.24</v>
      </c>
      <c r="U11">
        <f t="shared" ref="U11:U29" si="2">$AQ$4</f>
        <v>1.0999999999999999E-2</v>
      </c>
      <c r="V11">
        <f t="shared" ref="V11:V29" si="3">$AN$5</f>
        <v>0.6784</v>
      </c>
      <c r="W11">
        <f>IF(H11="wet",$AN$6,$AN$7)</f>
        <v>6.0000000000000001E-3</v>
      </c>
      <c r="X11">
        <f>VLOOKUP(I11,$AM$23:$AN$30,2,FALSE)</f>
        <v>0.78</v>
      </c>
      <c r="Y11">
        <f>J11*K11*M11*X11*V11</f>
        <v>0</v>
      </c>
      <c r="Z11">
        <f t="shared" ref="Z11:Z29" si="4">$AM$33</f>
        <v>4.7000000000000002E-3</v>
      </c>
      <c r="AA11">
        <f>J11*K11*N11*Z11*V11</f>
        <v>1.6538645760000002E-3</v>
      </c>
      <c r="AB11">
        <f>C11*Y11*365</f>
        <v>0</v>
      </c>
      <c r="AC11">
        <f>C11*AA11*365</f>
        <v>3.0183028512000001</v>
      </c>
      <c r="AD11">
        <f>(AB11+AC11)*10^-3</f>
        <v>3.0183028512000003E-3</v>
      </c>
      <c r="AE11">
        <f>C11*P11*365</f>
        <v>72087.5</v>
      </c>
      <c r="AF11">
        <f>AE11*W11*O11*10^-3</f>
        <v>0.67906425000000015</v>
      </c>
      <c r="AG11">
        <f>AE11*S11</f>
        <v>15138.375</v>
      </c>
      <c r="AH11">
        <f>AG11*Q11*O11*10^-3</f>
        <v>0.16637074125000001</v>
      </c>
      <c r="AI11">
        <f>AE11*R11*T11</f>
        <v>17301</v>
      </c>
      <c r="AJ11">
        <f>AI11*U11*O11*10^-3</f>
        <v>0.29878826999999997</v>
      </c>
      <c r="AM11" s="2" t="s">
        <v>3</v>
      </c>
      <c r="AN11" s="2">
        <v>2.73</v>
      </c>
      <c r="AO11" s="2">
        <v>39.5</v>
      </c>
      <c r="AP11" s="2"/>
      <c r="AQ11" s="2"/>
      <c r="AR11" s="2" t="s">
        <v>72</v>
      </c>
      <c r="AS11" s="2">
        <v>7.0000000000000001E-3</v>
      </c>
    </row>
    <row r="12" spans="1:45" ht="17">
      <c r="A12" s="3" t="s">
        <v>3</v>
      </c>
      <c r="B12" s="2" t="s">
        <v>5</v>
      </c>
      <c r="C12">
        <v>6</v>
      </c>
      <c r="D12" t="s">
        <v>56</v>
      </c>
      <c r="E12" t="s">
        <v>72</v>
      </c>
      <c r="G12" t="s">
        <v>95</v>
      </c>
      <c r="H12" t="str">
        <f t="shared" ref="H12:H17" si="5">VLOOKUP(G12,$AR$31:$AS$40,2,FALSE)</f>
        <v>wet</v>
      </c>
      <c r="I12" t="s">
        <v>65</v>
      </c>
      <c r="J12">
        <f>VLOOKUP(A12, $AM$11:$AN$18,2,FALSE)</f>
        <v>2.73</v>
      </c>
      <c r="K12">
        <f t="shared" ref="K12:K29" si="6">$AQ$5</f>
        <v>0.19</v>
      </c>
      <c r="L12" t="s">
        <v>55</v>
      </c>
      <c r="M12">
        <f>1-N12</f>
        <v>0</v>
      </c>
      <c r="N12">
        <f>IF(L12="yes", 1, 0.9966)</f>
        <v>1</v>
      </c>
      <c r="O12">
        <f t="shared" si="0"/>
        <v>1.57</v>
      </c>
      <c r="P12">
        <f>VLOOKUP(A12, $AM$11:$AO$18,3,FALSE)</f>
        <v>39.5</v>
      </c>
      <c r="Q12">
        <f>VLOOKUP(E12,$AR$10:$AS$22,2,FALSE)</f>
        <v>7.0000000000000001E-3</v>
      </c>
      <c r="R12">
        <f>IF(D12="yes", 1, 0)</f>
        <v>0</v>
      </c>
      <c r="S12">
        <f t="shared" ref="S12:S29" si="7">$AN$3</f>
        <v>0.21</v>
      </c>
      <c r="T12">
        <f t="shared" si="1"/>
        <v>0.24</v>
      </c>
      <c r="U12">
        <f t="shared" si="2"/>
        <v>1.0999999999999999E-2</v>
      </c>
      <c r="V12">
        <f t="shared" si="3"/>
        <v>0.6784</v>
      </c>
      <c r="W12">
        <f t="shared" ref="W12:W17" si="8">IF(H12="wet",$AN$6,$AN$7)</f>
        <v>6.0000000000000001E-3</v>
      </c>
      <c r="X12">
        <f>VLOOKUP(I12,$AM$23:$AN$30,2,FALSE)</f>
        <v>0.78</v>
      </c>
      <c r="Y12">
        <f>J12*K12*M12*X12*V12</f>
        <v>0</v>
      </c>
      <c r="Z12">
        <f t="shared" si="4"/>
        <v>4.7000000000000002E-3</v>
      </c>
      <c r="AA12">
        <f>J12*K12*N12*Z12*V12</f>
        <v>1.6538645760000002E-3</v>
      </c>
      <c r="AB12">
        <f>C12*Y12*365</f>
        <v>0</v>
      </c>
      <c r="AC12">
        <f>C12*AA12*365</f>
        <v>3.6219634214400007</v>
      </c>
      <c r="AD12">
        <f>(AB12+AC12)*10^-3</f>
        <v>3.6219634214400007E-3</v>
      </c>
      <c r="AE12">
        <f t="shared" ref="AE12:AE17" si="9">C12*P12*365</f>
        <v>86505</v>
      </c>
      <c r="AF12">
        <f t="shared" ref="AF12:AF17" si="10">AE12*W12*O12*10^-3</f>
        <v>0.81487710000000002</v>
      </c>
      <c r="AG12">
        <f t="shared" ref="AG12:AG17" si="11">AE12*S12</f>
        <v>18166.05</v>
      </c>
      <c r="AH12">
        <f t="shared" ref="AH12:AH17" si="12">AG12*Q12*O12*10^-3</f>
        <v>0.19964488950000001</v>
      </c>
      <c r="AI12">
        <f t="shared" ref="AI12:AI17" si="13">AE12*R12*T12</f>
        <v>0</v>
      </c>
      <c r="AJ12">
        <f t="shared" ref="AJ12:AJ17" si="14">AI12*U12*O12*10^-3</f>
        <v>0</v>
      </c>
      <c r="AM12" s="2" t="s">
        <v>23</v>
      </c>
      <c r="AN12" s="2">
        <v>0.34</v>
      </c>
      <c r="AO12" s="2">
        <v>7</v>
      </c>
      <c r="AP12" s="2"/>
      <c r="AQ12" s="2"/>
      <c r="AR12" s="2" t="s">
        <v>74</v>
      </c>
      <c r="AS12" s="2">
        <v>1.8E-3</v>
      </c>
    </row>
    <row r="13" spans="1:45" ht="17">
      <c r="A13" s="3" t="s">
        <v>3</v>
      </c>
      <c r="B13" s="2" t="s">
        <v>6</v>
      </c>
      <c r="C13">
        <v>7</v>
      </c>
      <c r="D13" t="s">
        <v>55</v>
      </c>
      <c r="E13" s="2" t="s">
        <v>73</v>
      </c>
      <c r="G13" t="s">
        <v>96</v>
      </c>
      <c r="H13" t="str">
        <f t="shared" si="5"/>
        <v>wet</v>
      </c>
      <c r="I13" t="s">
        <v>65</v>
      </c>
      <c r="J13">
        <f t="shared" ref="J13:J17" si="15">VLOOKUP(A13, $AM$11:$AN$18,2,FALSE)</f>
        <v>2.73</v>
      </c>
      <c r="K13">
        <f t="shared" si="6"/>
        <v>0.19</v>
      </c>
      <c r="L13" t="s">
        <v>55</v>
      </c>
      <c r="M13">
        <f t="shared" ref="M13:M17" si="16">1-N13</f>
        <v>0</v>
      </c>
      <c r="N13">
        <f t="shared" ref="N13:N29" si="17">IF(L13="yes", 1, 0.9966)</f>
        <v>1</v>
      </c>
      <c r="O13">
        <f t="shared" si="0"/>
        <v>1.57</v>
      </c>
      <c r="P13">
        <f t="shared" ref="P13:P17" si="18">VLOOKUP(A13, $AM$11:$AO$18,3,FALSE)</f>
        <v>39.5</v>
      </c>
      <c r="Q13">
        <f t="shared" ref="Q13:Q17" si="19">VLOOKUP(E13,$AR$10:$AS$22,2,FALSE)</f>
        <v>5.8999999999999999E-3</v>
      </c>
      <c r="R13">
        <f t="shared" ref="R13:R17" si="20">IF(D13="yes", 1, 0)</f>
        <v>1</v>
      </c>
      <c r="S13">
        <f t="shared" si="7"/>
        <v>0.21</v>
      </c>
      <c r="T13">
        <f t="shared" si="1"/>
        <v>0.24</v>
      </c>
      <c r="U13">
        <f t="shared" si="2"/>
        <v>1.0999999999999999E-2</v>
      </c>
      <c r="V13">
        <f t="shared" si="3"/>
        <v>0.6784</v>
      </c>
      <c r="W13">
        <f t="shared" si="8"/>
        <v>6.0000000000000001E-3</v>
      </c>
      <c r="X13">
        <f t="shared" ref="X13:X17" si="21">VLOOKUP(I13,$AM$23:$AN$30,2,FALSE)</f>
        <v>0.78</v>
      </c>
      <c r="Y13">
        <f t="shared" ref="Y13:Y17" si="22">J13*K13*M13*X13*V13</f>
        <v>0</v>
      </c>
      <c r="Z13">
        <f t="shared" si="4"/>
        <v>4.7000000000000002E-3</v>
      </c>
      <c r="AA13">
        <f t="shared" ref="AA13:AA17" si="23">J13*K13*N13*Z13*V13</f>
        <v>1.6538645760000002E-3</v>
      </c>
      <c r="AB13">
        <f t="shared" ref="AB13:AB17" si="24">C13*Y13*365</f>
        <v>0</v>
      </c>
      <c r="AC13">
        <f t="shared" ref="AC13:AC17" si="25">C13*AA13*365</f>
        <v>4.22562399168</v>
      </c>
      <c r="AD13">
        <f t="shared" ref="AD13:AD17" si="26">(AB13+AC13)*10^-3</f>
        <v>4.2256239916799998E-3</v>
      </c>
      <c r="AE13">
        <f t="shared" si="9"/>
        <v>100922.5</v>
      </c>
      <c r="AF13">
        <f t="shared" si="10"/>
        <v>0.95068995000000001</v>
      </c>
      <c r="AG13">
        <f t="shared" si="11"/>
        <v>21193.724999999999</v>
      </c>
      <c r="AH13">
        <f t="shared" si="12"/>
        <v>0.19631747467499999</v>
      </c>
      <c r="AI13">
        <f t="shared" si="13"/>
        <v>24221.399999999998</v>
      </c>
      <c r="AJ13">
        <f t="shared" si="14"/>
        <v>0.41830357799999995</v>
      </c>
      <c r="AM13" s="2" t="s">
        <v>22</v>
      </c>
      <c r="AN13" s="2">
        <v>0.91</v>
      </c>
      <c r="AO13" s="2">
        <v>13.2</v>
      </c>
      <c r="AP13" s="2"/>
      <c r="AQ13" s="2"/>
      <c r="AR13" s="2" t="s">
        <v>75</v>
      </c>
      <c r="AS13" s="2">
        <v>2.8999999999999998E-3</v>
      </c>
    </row>
    <row r="14" spans="1:45" ht="17">
      <c r="A14" s="3" t="s">
        <v>3</v>
      </c>
      <c r="B14" s="2" t="s">
        <v>7</v>
      </c>
      <c r="C14">
        <v>8</v>
      </c>
      <c r="D14" t="s">
        <v>56</v>
      </c>
      <c r="E14" s="2" t="s">
        <v>72</v>
      </c>
      <c r="G14" t="s">
        <v>97</v>
      </c>
      <c r="H14" t="str">
        <f t="shared" si="5"/>
        <v>wet</v>
      </c>
      <c r="I14" t="s">
        <v>65</v>
      </c>
      <c r="J14">
        <f t="shared" si="15"/>
        <v>2.73</v>
      </c>
      <c r="K14">
        <f t="shared" si="6"/>
        <v>0.19</v>
      </c>
      <c r="L14" t="s">
        <v>55</v>
      </c>
      <c r="M14">
        <f t="shared" si="16"/>
        <v>0</v>
      </c>
      <c r="N14">
        <f t="shared" si="17"/>
        <v>1</v>
      </c>
      <c r="O14">
        <f t="shared" si="0"/>
        <v>1.57</v>
      </c>
      <c r="P14">
        <f t="shared" si="18"/>
        <v>39.5</v>
      </c>
      <c r="Q14">
        <f t="shared" si="19"/>
        <v>7.0000000000000001E-3</v>
      </c>
      <c r="R14">
        <f t="shared" si="20"/>
        <v>0</v>
      </c>
      <c r="S14">
        <f t="shared" si="7"/>
        <v>0.21</v>
      </c>
      <c r="T14">
        <f t="shared" si="1"/>
        <v>0.24</v>
      </c>
      <c r="U14">
        <f t="shared" si="2"/>
        <v>1.0999999999999999E-2</v>
      </c>
      <c r="V14">
        <f t="shared" si="3"/>
        <v>0.6784</v>
      </c>
      <c r="W14">
        <f t="shared" si="8"/>
        <v>6.0000000000000001E-3</v>
      </c>
      <c r="X14">
        <f t="shared" si="21"/>
        <v>0.78</v>
      </c>
      <c r="Y14">
        <f t="shared" si="22"/>
        <v>0</v>
      </c>
      <c r="Z14">
        <f t="shared" si="4"/>
        <v>4.7000000000000002E-3</v>
      </c>
      <c r="AA14">
        <f t="shared" si="23"/>
        <v>1.6538645760000002E-3</v>
      </c>
      <c r="AB14">
        <f t="shared" si="24"/>
        <v>0</v>
      </c>
      <c r="AC14">
        <f t="shared" si="25"/>
        <v>4.8292845619200007</v>
      </c>
      <c r="AD14">
        <f t="shared" si="26"/>
        <v>4.8292845619200006E-3</v>
      </c>
      <c r="AE14">
        <f t="shared" si="9"/>
        <v>115340</v>
      </c>
      <c r="AF14">
        <f t="shared" si="10"/>
        <v>1.0865028000000001</v>
      </c>
      <c r="AG14">
        <f t="shared" si="11"/>
        <v>24221.399999999998</v>
      </c>
      <c r="AH14">
        <f t="shared" si="12"/>
        <v>0.26619318599999997</v>
      </c>
      <c r="AI14">
        <f t="shared" si="13"/>
        <v>0</v>
      </c>
      <c r="AJ14">
        <f t="shared" si="14"/>
        <v>0</v>
      </c>
      <c r="AM14" s="2" t="s">
        <v>17</v>
      </c>
      <c r="AN14" s="2">
        <v>2.73</v>
      </c>
      <c r="AO14" s="2">
        <v>39.5</v>
      </c>
      <c r="AP14" s="2"/>
      <c r="AQ14" s="2"/>
      <c r="AR14" s="2" t="s">
        <v>76</v>
      </c>
      <c r="AS14" s="2">
        <v>8.0000000000000002E-3</v>
      </c>
    </row>
    <row r="15" spans="1:45" ht="17">
      <c r="A15" s="3" t="s">
        <v>23</v>
      </c>
      <c r="B15" s="2" t="s">
        <v>8</v>
      </c>
      <c r="C15">
        <v>9</v>
      </c>
      <c r="D15" t="s">
        <v>55</v>
      </c>
      <c r="E15" s="2" t="s">
        <v>74</v>
      </c>
      <c r="G15" t="s">
        <v>98</v>
      </c>
      <c r="H15" t="str">
        <f t="shared" si="5"/>
        <v>wet</v>
      </c>
      <c r="I15" t="s">
        <v>65</v>
      </c>
      <c r="J15">
        <f t="shared" si="15"/>
        <v>0.34</v>
      </c>
      <c r="K15">
        <f t="shared" si="6"/>
        <v>0.19</v>
      </c>
      <c r="L15" t="s">
        <v>55</v>
      </c>
      <c r="M15">
        <f t="shared" si="16"/>
        <v>0</v>
      </c>
      <c r="N15">
        <f t="shared" si="17"/>
        <v>1</v>
      </c>
      <c r="O15">
        <f t="shared" si="0"/>
        <v>1.57</v>
      </c>
      <c r="P15">
        <f t="shared" si="18"/>
        <v>7</v>
      </c>
      <c r="Q15">
        <f t="shared" si="19"/>
        <v>1.8E-3</v>
      </c>
      <c r="R15">
        <f t="shared" si="20"/>
        <v>1</v>
      </c>
      <c r="S15">
        <f t="shared" si="7"/>
        <v>0.21</v>
      </c>
      <c r="T15">
        <f t="shared" si="1"/>
        <v>0.24</v>
      </c>
      <c r="U15">
        <f t="shared" si="2"/>
        <v>1.0999999999999999E-2</v>
      </c>
      <c r="V15">
        <f t="shared" si="3"/>
        <v>0.6784</v>
      </c>
      <c r="W15">
        <f t="shared" si="8"/>
        <v>6.0000000000000001E-3</v>
      </c>
      <c r="X15">
        <f t="shared" si="21"/>
        <v>0.78</v>
      </c>
      <c r="Y15">
        <f t="shared" si="22"/>
        <v>0</v>
      </c>
      <c r="Z15">
        <f t="shared" si="4"/>
        <v>4.7000000000000002E-3</v>
      </c>
      <c r="AA15">
        <f t="shared" si="23"/>
        <v>2.0597580800000003E-4</v>
      </c>
      <c r="AB15">
        <f t="shared" si="24"/>
        <v>0</v>
      </c>
      <c r="AC15">
        <f t="shared" si="25"/>
        <v>0.67663052928000011</v>
      </c>
      <c r="AD15">
        <f t="shared" si="26"/>
        <v>6.7663052928000015E-4</v>
      </c>
      <c r="AE15">
        <f t="shared" si="9"/>
        <v>22995</v>
      </c>
      <c r="AF15">
        <f t="shared" si="10"/>
        <v>0.2166129</v>
      </c>
      <c r="AG15">
        <f t="shared" si="11"/>
        <v>4828.95</v>
      </c>
      <c r="AH15">
        <f t="shared" si="12"/>
        <v>1.3646612700000001E-2</v>
      </c>
      <c r="AI15">
        <f t="shared" si="13"/>
        <v>5518.8</v>
      </c>
      <c r="AJ15">
        <f t="shared" si="14"/>
        <v>9.530967600000001E-2</v>
      </c>
      <c r="AM15" s="2" t="s">
        <v>18</v>
      </c>
      <c r="AN15" s="2">
        <v>0.34</v>
      </c>
      <c r="AO15" s="2">
        <v>7</v>
      </c>
      <c r="AP15" s="2"/>
      <c r="AQ15" s="2"/>
      <c r="AR15" s="2" t="s">
        <v>77</v>
      </c>
      <c r="AS15" s="2">
        <v>1.9900000000000001E-2</v>
      </c>
    </row>
    <row r="16" spans="1:45" ht="17">
      <c r="A16" s="3" t="s">
        <v>23</v>
      </c>
      <c r="B16" s="2" t="s">
        <v>9</v>
      </c>
      <c r="C16">
        <v>10</v>
      </c>
      <c r="D16" t="s">
        <v>56</v>
      </c>
      <c r="E16" s="2" t="s">
        <v>75</v>
      </c>
      <c r="G16" t="s">
        <v>99</v>
      </c>
      <c r="H16" t="str">
        <f t="shared" si="5"/>
        <v>wet</v>
      </c>
      <c r="I16" s="2" t="s">
        <v>26</v>
      </c>
      <c r="J16">
        <f t="shared" si="15"/>
        <v>0.34</v>
      </c>
      <c r="K16">
        <f t="shared" si="6"/>
        <v>0.19</v>
      </c>
      <c r="L16" t="s">
        <v>55</v>
      </c>
      <c r="M16">
        <f t="shared" si="16"/>
        <v>0</v>
      </c>
      <c r="N16">
        <f t="shared" si="17"/>
        <v>1</v>
      </c>
      <c r="O16">
        <f t="shared" si="0"/>
        <v>1.57</v>
      </c>
      <c r="P16">
        <f t="shared" si="18"/>
        <v>7</v>
      </c>
      <c r="Q16">
        <f t="shared" si="19"/>
        <v>2.8999999999999998E-3</v>
      </c>
      <c r="R16">
        <f t="shared" si="20"/>
        <v>0</v>
      </c>
      <c r="S16">
        <f t="shared" si="7"/>
        <v>0.21</v>
      </c>
      <c r="T16">
        <f t="shared" si="1"/>
        <v>0.24</v>
      </c>
      <c r="U16">
        <f t="shared" si="2"/>
        <v>1.0999999999999999E-2</v>
      </c>
      <c r="V16">
        <f t="shared" si="3"/>
        <v>0.6784</v>
      </c>
      <c r="W16">
        <f t="shared" si="8"/>
        <v>6.0000000000000001E-3</v>
      </c>
      <c r="X16">
        <f t="shared" si="21"/>
        <v>0.71</v>
      </c>
      <c r="Y16">
        <f t="shared" si="22"/>
        <v>0</v>
      </c>
      <c r="Z16">
        <f t="shared" si="4"/>
        <v>4.7000000000000002E-3</v>
      </c>
      <c r="AA16">
        <f t="shared" si="23"/>
        <v>2.0597580800000003E-4</v>
      </c>
      <c r="AB16">
        <f t="shared" si="24"/>
        <v>0</v>
      </c>
      <c r="AC16">
        <f t="shared" si="25"/>
        <v>0.75181169920000002</v>
      </c>
      <c r="AD16">
        <f t="shared" si="26"/>
        <v>7.518116992E-4</v>
      </c>
      <c r="AE16">
        <f t="shared" si="9"/>
        <v>25550</v>
      </c>
      <c r="AF16">
        <f t="shared" si="10"/>
        <v>0.24068100000000003</v>
      </c>
      <c r="AG16">
        <f t="shared" si="11"/>
        <v>5365.5</v>
      </c>
      <c r="AH16">
        <f t="shared" si="12"/>
        <v>2.4429121500000001E-2</v>
      </c>
      <c r="AI16">
        <f t="shared" si="13"/>
        <v>0</v>
      </c>
      <c r="AJ16">
        <f t="shared" si="14"/>
        <v>0</v>
      </c>
      <c r="AM16" s="2" t="s">
        <v>19</v>
      </c>
      <c r="AN16" s="2">
        <v>2.73</v>
      </c>
      <c r="AO16" s="2">
        <v>39.5</v>
      </c>
      <c r="AP16" s="2"/>
      <c r="AQ16" s="2"/>
      <c r="AR16" s="2" t="s">
        <v>78</v>
      </c>
      <c r="AS16" s="2">
        <v>5.3E-3</v>
      </c>
    </row>
    <row r="17" spans="1:45" ht="17">
      <c r="A17" s="3" t="s">
        <v>23</v>
      </c>
      <c r="B17" s="2" t="s">
        <v>109</v>
      </c>
      <c r="C17">
        <v>11</v>
      </c>
      <c r="D17" t="s">
        <v>55</v>
      </c>
      <c r="E17" s="2" t="s">
        <v>76</v>
      </c>
      <c r="G17" t="s">
        <v>100</v>
      </c>
      <c r="H17" t="str">
        <f t="shared" si="5"/>
        <v>dry</v>
      </c>
      <c r="I17" s="2" t="s">
        <v>63</v>
      </c>
      <c r="J17">
        <f t="shared" si="15"/>
        <v>0.34</v>
      </c>
      <c r="K17">
        <f t="shared" si="6"/>
        <v>0.19</v>
      </c>
      <c r="L17" t="s">
        <v>55</v>
      </c>
      <c r="M17">
        <f t="shared" si="16"/>
        <v>0</v>
      </c>
      <c r="N17">
        <f t="shared" si="17"/>
        <v>1</v>
      </c>
      <c r="O17">
        <f t="shared" si="0"/>
        <v>1.57</v>
      </c>
      <c r="P17">
        <f t="shared" si="18"/>
        <v>7</v>
      </c>
      <c r="Q17">
        <f t="shared" si="19"/>
        <v>8.0000000000000002E-3</v>
      </c>
      <c r="R17">
        <f t="shared" si="20"/>
        <v>1</v>
      </c>
      <c r="S17">
        <f t="shared" si="7"/>
        <v>0.21</v>
      </c>
      <c r="T17">
        <f t="shared" si="1"/>
        <v>0.24</v>
      </c>
      <c r="U17">
        <f t="shared" si="2"/>
        <v>1.0999999999999999E-2</v>
      </c>
      <c r="V17">
        <f t="shared" si="3"/>
        <v>0.6784</v>
      </c>
      <c r="W17">
        <f t="shared" si="8"/>
        <v>2E-3</v>
      </c>
      <c r="X17">
        <f t="shared" si="21"/>
        <v>0.75</v>
      </c>
      <c r="Y17">
        <f t="shared" si="22"/>
        <v>0</v>
      </c>
      <c r="Z17">
        <f t="shared" si="4"/>
        <v>4.7000000000000002E-3</v>
      </c>
      <c r="AA17">
        <f t="shared" si="23"/>
        <v>2.0597580800000003E-4</v>
      </c>
      <c r="AB17">
        <f t="shared" si="24"/>
        <v>0</v>
      </c>
      <c r="AC17">
        <f t="shared" si="25"/>
        <v>0.82699286912000003</v>
      </c>
      <c r="AD17">
        <f t="shared" si="26"/>
        <v>8.2699286912000006E-4</v>
      </c>
      <c r="AE17">
        <f t="shared" si="9"/>
        <v>28105</v>
      </c>
      <c r="AF17">
        <f t="shared" si="10"/>
        <v>8.82497E-2</v>
      </c>
      <c r="AG17">
        <f t="shared" si="11"/>
        <v>5902.05</v>
      </c>
      <c r="AH17">
        <f t="shared" si="12"/>
        <v>7.4129748000000009E-2</v>
      </c>
      <c r="AI17">
        <f t="shared" si="13"/>
        <v>6745.2</v>
      </c>
      <c r="AJ17">
        <f t="shared" si="14"/>
        <v>0.116489604</v>
      </c>
      <c r="AM17" s="2" t="s">
        <v>20</v>
      </c>
      <c r="AN17" s="2">
        <v>0.91</v>
      </c>
      <c r="AO17" s="2">
        <v>13.2</v>
      </c>
      <c r="AP17" s="2"/>
      <c r="AQ17" s="2"/>
      <c r="AR17" s="2" t="s">
        <v>79</v>
      </c>
      <c r="AS17" s="2">
        <v>6.4000000000000003E-3</v>
      </c>
    </row>
    <row r="18" spans="1:45" ht="17">
      <c r="A18" s="3" t="s">
        <v>23</v>
      </c>
      <c r="B18" s="2" t="s">
        <v>10</v>
      </c>
      <c r="C18">
        <v>13</v>
      </c>
      <c r="D18" t="s">
        <v>55</v>
      </c>
      <c r="E18" s="2" t="s">
        <v>72</v>
      </c>
      <c r="G18" t="s">
        <v>102</v>
      </c>
      <c r="H18" t="str">
        <f t="shared" ref="H18:H29" si="27">VLOOKUP(G18,$AR$31:$AS$40,2,FALSE)</f>
        <v>dry</v>
      </c>
      <c r="I18" s="2" t="s">
        <v>65</v>
      </c>
      <c r="J18">
        <f t="shared" ref="J18:J29" si="28">VLOOKUP(A18, $AM$11:$AN$18,2,FALSE)</f>
        <v>0.34</v>
      </c>
      <c r="K18">
        <f t="shared" si="6"/>
        <v>0.19</v>
      </c>
      <c r="L18" t="s">
        <v>55</v>
      </c>
      <c r="M18">
        <f t="shared" ref="M18:M29" si="29">1-N18</f>
        <v>0</v>
      </c>
      <c r="N18">
        <f t="shared" si="17"/>
        <v>1</v>
      </c>
      <c r="O18">
        <f t="shared" si="0"/>
        <v>1.57</v>
      </c>
      <c r="P18">
        <f t="shared" ref="P18:P29" si="30">VLOOKUP(A18, $AM$11:$AO$18,3,FALSE)</f>
        <v>7</v>
      </c>
      <c r="Q18">
        <f t="shared" ref="Q18:Q29" si="31">VLOOKUP(E18,$AR$10:$AS$22,2,FALSE)</f>
        <v>7.0000000000000001E-3</v>
      </c>
      <c r="R18">
        <f t="shared" ref="R18:R29" si="32">IF(D18="yes", 1, 0)</f>
        <v>1</v>
      </c>
      <c r="S18">
        <f t="shared" si="7"/>
        <v>0.21</v>
      </c>
      <c r="T18">
        <f t="shared" si="1"/>
        <v>0.24</v>
      </c>
      <c r="U18">
        <f t="shared" si="2"/>
        <v>1.0999999999999999E-2</v>
      </c>
      <c r="V18">
        <f t="shared" si="3"/>
        <v>0.6784</v>
      </c>
      <c r="W18">
        <f t="shared" ref="W18:W29" si="33">IF(H18="wet",$AN$6,$AN$7)</f>
        <v>2E-3</v>
      </c>
      <c r="X18">
        <f t="shared" ref="X18:X29" si="34">VLOOKUP(I18,$AM$23:$AN$30,2,FALSE)</f>
        <v>0.78</v>
      </c>
      <c r="Y18">
        <f t="shared" ref="Y18:Y29" si="35">J18*K18*M18*X18*V18</f>
        <v>0</v>
      </c>
      <c r="Z18">
        <f t="shared" si="4"/>
        <v>4.7000000000000002E-3</v>
      </c>
      <c r="AA18">
        <f t="shared" ref="AA18:AA29" si="36">J18*K18*N18*Z18*V18</f>
        <v>2.0597580800000003E-4</v>
      </c>
      <c r="AB18">
        <f t="shared" ref="AB18:AB29" si="37">C18*Y18*365</f>
        <v>0</v>
      </c>
      <c r="AC18">
        <f t="shared" ref="AC18:AC29" si="38">C18*AA18*365</f>
        <v>0.97735520896000017</v>
      </c>
      <c r="AD18">
        <f t="shared" ref="AD18:AD29" si="39">(AB18+AC18)*10^-3</f>
        <v>9.7735520896000019E-4</v>
      </c>
      <c r="AE18">
        <f t="shared" ref="AE18:AE29" si="40">C18*P18*365</f>
        <v>33215</v>
      </c>
      <c r="AF18">
        <f t="shared" ref="AF18:AF29" si="41">AE18*W18*O18*10^-3</f>
        <v>0.10429510000000002</v>
      </c>
      <c r="AG18">
        <f t="shared" ref="AG18:AG29" si="42">AE18*S18</f>
        <v>6975.15</v>
      </c>
      <c r="AH18">
        <f t="shared" ref="AH18:AH29" si="43">AG18*Q18*O18*10^-3</f>
        <v>7.6656898500000001E-2</v>
      </c>
      <c r="AI18">
        <f t="shared" ref="AI18:AI29" si="44">AE18*R18*T18</f>
        <v>7971.5999999999995</v>
      </c>
      <c r="AJ18">
        <f t="shared" ref="AJ18:AJ29" si="45">AI18*U18*O18*10^-3</f>
        <v>0.13766953199999998</v>
      </c>
      <c r="AM18" s="2" t="s">
        <v>62</v>
      </c>
      <c r="AN18" s="2">
        <v>0.34</v>
      </c>
      <c r="AO18" s="2">
        <v>7</v>
      </c>
      <c r="AP18" s="2"/>
      <c r="AQ18" s="10"/>
      <c r="AR18" s="2" t="s">
        <v>80</v>
      </c>
      <c r="AS18" s="2">
        <v>2.5999999999999999E-3</v>
      </c>
    </row>
    <row r="19" spans="1:45" ht="17">
      <c r="A19" s="3" t="s">
        <v>23</v>
      </c>
      <c r="B19" s="2" t="s">
        <v>11</v>
      </c>
      <c r="C19">
        <v>14</v>
      </c>
      <c r="D19" t="s">
        <v>56</v>
      </c>
      <c r="E19" s="2" t="s">
        <v>74</v>
      </c>
      <c r="G19" t="s">
        <v>103</v>
      </c>
      <c r="H19" t="str">
        <f t="shared" si="27"/>
        <v>dry</v>
      </c>
      <c r="I19" s="2" t="s">
        <v>66</v>
      </c>
      <c r="J19">
        <f t="shared" si="28"/>
        <v>0.34</v>
      </c>
      <c r="K19">
        <f t="shared" si="6"/>
        <v>0.19</v>
      </c>
      <c r="L19" t="s">
        <v>55</v>
      </c>
      <c r="M19">
        <f t="shared" si="29"/>
        <v>0</v>
      </c>
      <c r="N19">
        <f t="shared" si="17"/>
        <v>1</v>
      </c>
      <c r="O19">
        <f t="shared" si="0"/>
        <v>1.57</v>
      </c>
      <c r="P19">
        <f t="shared" si="30"/>
        <v>7</v>
      </c>
      <c r="Q19">
        <f t="shared" si="31"/>
        <v>1.8E-3</v>
      </c>
      <c r="R19">
        <f t="shared" si="32"/>
        <v>0</v>
      </c>
      <c r="S19">
        <f t="shared" si="7"/>
        <v>0.21</v>
      </c>
      <c r="T19">
        <f t="shared" si="1"/>
        <v>0.24</v>
      </c>
      <c r="U19">
        <f t="shared" si="2"/>
        <v>1.0999999999999999E-2</v>
      </c>
      <c r="V19">
        <f t="shared" si="3"/>
        <v>0.6784</v>
      </c>
      <c r="W19">
        <f t="shared" si="33"/>
        <v>2E-3</v>
      </c>
      <c r="X19">
        <f t="shared" si="34"/>
        <v>0.74</v>
      </c>
      <c r="Y19">
        <f t="shared" si="35"/>
        <v>0</v>
      </c>
      <c r="Z19">
        <f t="shared" si="4"/>
        <v>4.7000000000000002E-3</v>
      </c>
      <c r="AA19">
        <f t="shared" si="36"/>
        <v>2.0597580800000003E-4</v>
      </c>
      <c r="AB19">
        <f t="shared" si="37"/>
        <v>0</v>
      </c>
      <c r="AC19">
        <f t="shared" si="38"/>
        <v>1.0525363788800002</v>
      </c>
      <c r="AD19">
        <f t="shared" si="39"/>
        <v>1.0525363788800003E-3</v>
      </c>
      <c r="AE19">
        <f t="shared" si="40"/>
        <v>35770</v>
      </c>
      <c r="AF19">
        <f t="shared" si="41"/>
        <v>0.11231780000000002</v>
      </c>
      <c r="AG19">
        <f t="shared" si="42"/>
        <v>7511.7</v>
      </c>
      <c r="AH19">
        <f t="shared" si="43"/>
        <v>2.1228064200000001E-2</v>
      </c>
      <c r="AI19">
        <f t="shared" si="44"/>
        <v>0</v>
      </c>
      <c r="AJ19">
        <f t="shared" si="45"/>
        <v>0</v>
      </c>
      <c r="AP19" s="2"/>
      <c r="AQ19" s="10"/>
      <c r="AR19" s="2" t="s">
        <v>81</v>
      </c>
      <c r="AS19" s="2">
        <v>3.0000000000000001E-3</v>
      </c>
    </row>
    <row r="20" spans="1:45" ht="17">
      <c r="A20" s="3" t="s">
        <v>23</v>
      </c>
      <c r="B20" s="2" t="s">
        <v>12</v>
      </c>
      <c r="C20">
        <v>15</v>
      </c>
      <c r="D20" t="s">
        <v>55</v>
      </c>
      <c r="E20" s="2" t="s">
        <v>75</v>
      </c>
      <c r="G20" t="s">
        <v>94</v>
      </c>
      <c r="H20" t="str">
        <f t="shared" si="27"/>
        <v>wet</v>
      </c>
      <c r="I20" s="2" t="s">
        <v>67</v>
      </c>
      <c r="J20">
        <f t="shared" si="28"/>
        <v>0.34</v>
      </c>
      <c r="K20">
        <f t="shared" si="6"/>
        <v>0.19</v>
      </c>
      <c r="L20" t="s">
        <v>55</v>
      </c>
      <c r="M20">
        <f t="shared" si="29"/>
        <v>0</v>
      </c>
      <c r="N20">
        <f t="shared" si="17"/>
        <v>1</v>
      </c>
      <c r="O20">
        <f t="shared" si="0"/>
        <v>1.57</v>
      </c>
      <c r="P20">
        <f t="shared" si="30"/>
        <v>7</v>
      </c>
      <c r="Q20">
        <f t="shared" si="31"/>
        <v>2.8999999999999998E-3</v>
      </c>
      <c r="R20">
        <f t="shared" si="32"/>
        <v>1</v>
      </c>
      <c r="S20">
        <f t="shared" si="7"/>
        <v>0.21</v>
      </c>
      <c r="T20">
        <f t="shared" si="1"/>
        <v>0.24</v>
      </c>
      <c r="U20">
        <f t="shared" si="2"/>
        <v>1.0999999999999999E-2</v>
      </c>
      <c r="V20">
        <f t="shared" si="3"/>
        <v>0.6784</v>
      </c>
      <c r="W20">
        <f t="shared" si="33"/>
        <v>6.0000000000000001E-3</v>
      </c>
      <c r="X20">
        <f t="shared" si="34"/>
        <v>0.7</v>
      </c>
      <c r="Y20">
        <f t="shared" si="35"/>
        <v>0</v>
      </c>
      <c r="Z20">
        <f t="shared" si="4"/>
        <v>4.7000000000000002E-3</v>
      </c>
      <c r="AA20">
        <f t="shared" si="36"/>
        <v>2.0597580800000003E-4</v>
      </c>
      <c r="AB20">
        <f t="shared" si="37"/>
        <v>0</v>
      </c>
      <c r="AC20">
        <f t="shared" si="38"/>
        <v>1.1277175488000002</v>
      </c>
      <c r="AD20">
        <f t="shared" si="39"/>
        <v>1.1277175488000003E-3</v>
      </c>
      <c r="AE20">
        <f t="shared" si="40"/>
        <v>38325</v>
      </c>
      <c r="AF20">
        <f t="shared" si="41"/>
        <v>0.36102150000000005</v>
      </c>
      <c r="AG20">
        <f t="shared" si="42"/>
        <v>8048.25</v>
      </c>
      <c r="AH20">
        <f t="shared" si="43"/>
        <v>3.6643682249999997E-2</v>
      </c>
      <c r="AI20">
        <f t="shared" si="44"/>
        <v>9198</v>
      </c>
      <c r="AJ20">
        <f t="shared" si="45"/>
        <v>0.15884946</v>
      </c>
      <c r="AP20" s="2"/>
      <c r="AQ20" s="2"/>
      <c r="AR20" s="2" t="s">
        <v>82</v>
      </c>
      <c r="AS20" s="2">
        <v>5.0000000000000001E-3</v>
      </c>
    </row>
    <row r="21" spans="1:45" ht="17">
      <c r="A21" s="3" t="s">
        <v>22</v>
      </c>
      <c r="B21" s="2" t="s">
        <v>13</v>
      </c>
      <c r="C21">
        <v>16</v>
      </c>
      <c r="D21" t="s">
        <v>56</v>
      </c>
      <c r="E21" s="2" t="s">
        <v>76</v>
      </c>
      <c r="G21" t="s">
        <v>95</v>
      </c>
      <c r="H21" t="str">
        <f t="shared" si="27"/>
        <v>wet</v>
      </c>
      <c r="I21" s="2" t="s">
        <v>68</v>
      </c>
      <c r="J21">
        <f t="shared" si="28"/>
        <v>0.91</v>
      </c>
      <c r="K21">
        <f t="shared" si="6"/>
        <v>0.19</v>
      </c>
      <c r="L21" t="s">
        <v>55</v>
      </c>
      <c r="M21">
        <f t="shared" si="29"/>
        <v>0</v>
      </c>
      <c r="N21">
        <f t="shared" si="17"/>
        <v>1</v>
      </c>
      <c r="O21">
        <f t="shared" si="0"/>
        <v>1.57</v>
      </c>
      <c r="P21">
        <f t="shared" si="30"/>
        <v>13.2</v>
      </c>
      <c r="Q21">
        <f t="shared" si="31"/>
        <v>8.0000000000000002E-3</v>
      </c>
      <c r="R21">
        <f t="shared" si="32"/>
        <v>0</v>
      </c>
      <c r="S21">
        <f t="shared" si="7"/>
        <v>0.21</v>
      </c>
      <c r="T21">
        <f t="shared" si="1"/>
        <v>0.24</v>
      </c>
      <c r="U21">
        <f t="shared" si="2"/>
        <v>1.0999999999999999E-2</v>
      </c>
      <c r="V21">
        <f t="shared" si="3"/>
        <v>0.6784</v>
      </c>
      <c r="W21">
        <f t="shared" si="33"/>
        <v>6.0000000000000001E-3</v>
      </c>
      <c r="X21">
        <f t="shared" si="34"/>
        <v>0.74</v>
      </c>
      <c r="Y21">
        <f t="shared" si="35"/>
        <v>0</v>
      </c>
      <c r="Z21">
        <f t="shared" si="4"/>
        <v>4.7000000000000002E-3</v>
      </c>
      <c r="AA21">
        <f t="shared" si="36"/>
        <v>5.5128819200000003E-4</v>
      </c>
      <c r="AB21">
        <f t="shared" si="37"/>
        <v>0</v>
      </c>
      <c r="AC21">
        <f t="shared" si="38"/>
        <v>3.21952304128</v>
      </c>
      <c r="AD21">
        <f t="shared" si="39"/>
        <v>3.21952304128E-3</v>
      </c>
      <c r="AE21">
        <f t="shared" si="40"/>
        <v>77088</v>
      </c>
      <c r="AF21">
        <f t="shared" si="41"/>
        <v>0.72616896000000009</v>
      </c>
      <c r="AG21">
        <f t="shared" si="42"/>
        <v>16188.48</v>
      </c>
      <c r="AH21">
        <f t="shared" si="43"/>
        <v>0.2033273088</v>
      </c>
      <c r="AI21">
        <f t="shared" si="44"/>
        <v>0</v>
      </c>
      <c r="AJ21">
        <f t="shared" si="45"/>
        <v>0</v>
      </c>
      <c r="AM21" s="2" t="s">
        <v>24</v>
      </c>
      <c r="AN21" t="s">
        <v>27</v>
      </c>
      <c r="AP21" s="2"/>
      <c r="AQ21" s="2"/>
      <c r="AR21" s="2" t="s">
        <v>80</v>
      </c>
      <c r="AS21" s="2">
        <v>2.5999999999999999E-3</v>
      </c>
    </row>
    <row r="22" spans="1:45" ht="17">
      <c r="A22" s="3" t="s">
        <v>22</v>
      </c>
      <c r="B22" s="2" t="s">
        <v>14</v>
      </c>
      <c r="C22">
        <v>17</v>
      </c>
      <c r="D22" t="s">
        <v>55</v>
      </c>
      <c r="E22" s="2" t="s">
        <v>73</v>
      </c>
      <c r="G22" t="s">
        <v>96</v>
      </c>
      <c r="H22" t="str">
        <f t="shared" si="27"/>
        <v>wet</v>
      </c>
      <c r="I22" s="2" t="s">
        <v>69</v>
      </c>
      <c r="J22">
        <f t="shared" si="28"/>
        <v>0.91</v>
      </c>
      <c r="K22">
        <f t="shared" si="6"/>
        <v>0.19</v>
      </c>
      <c r="L22" t="s">
        <v>55</v>
      </c>
      <c r="M22">
        <f t="shared" si="29"/>
        <v>0</v>
      </c>
      <c r="N22">
        <f t="shared" si="17"/>
        <v>1</v>
      </c>
      <c r="O22">
        <f t="shared" si="0"/>
        <v>1.57</v>
      </c>
      <c r="P22">
        <f t="shared" si="30"/>
        <v>13.2</v>
      </c>
      <c r="Q22">
        <f t="shared" si="31"/>
        <v>5.8999999999999999E-3</v>
      </c>
      <c r="R22">
        <f t="shared" si="32"/>
        <v>1</v>
      </c>
      <c r="S22">
        <f t="shared" si="7"/>
        <v>0.21</v>
      </c>
      <c r="T22">
        <f t="shared" si="1"/>
        <v>0.24</v>
      </c>
      <c r="U22">
        <f t="shared" si="2"/>
        <v>1.0999999999999999E-2</v>
      </c>
      <c r="V22">
        <f t="shared" si="3"/>
        <v>0.6784</v>
      </c>
      <c r="W22">
        <f t="shared" si="33"/>
        <v>6.0000000000000001E-3</v>
      </c>
      <c r="X22">
        <f t="shared" si="34"/>
        <v>0.76</v>
      </c>
      <c r="Y22">
        <f t="shared" si="35"/>
        <v>0</v>
      </c>
      <c r="Z22">
        <f t="shared" si="4"/>
        <v>4.7000000000000002E-3</v>
      </c>
      <c r="AA22">
        <f t="shared" si="36"/>
        <v>5.5128819200000003E-4</v>
      </c>
      <c r="AB22">
        <f t="shared" si="37"/>
        <v>0</v>
      </c>
      <c r="AC22">
        <f t="shared" si="38"/>
        <v>3.4207432313599999</v>
      </c>
      <c r="AD22">
        <f t="shared" si="39"/>
        <v>3.4207432313600001E-3</v>
      </c>
      <c r="AE22">
        <f t="shared" si="40"/>
        <v>81905.999999999985</v>
      </c>
      <c r="AF22">
        <f t="shared" si="41"/>
        <v>0.77155451999999991</v>
      </c>
      <c r="AG22">
        <f t="shared" si="42"/>
        <v>17200.259999999995</v>
      </c>
      <c r="AH22">
        <f t="shared" si="43"/>
        <v>0.15932600837999997</v>
      </c>
      <c r="AI22">
        <f t="shared" si="44"/>
        <v>19657.439999999995</v>
      </c>
      <c r="AJ22">
        <f t="shared" si="45"/>
        <v>0.33948398879999991</v>
      </c>
      <c r="AM22" s="2" t="s">
        <v>25</v>
      </c>
      <c r="AR22" s="2" t="s">
        <v>83</v>
      </c>
      <c r="AS22" s="2">
        <v>1.8E-3</v>
      </c>
    </row>
    <row r="23" spans="1:45" ht="17">
      <c r="A23" s="3" t="s">
        <v>22</v>
      </c>
      <c r="B23" s="2" t="s">
        <v>15</v>
      </c>
      <c r="C23">
        <v>18</v>
      </c>
      <c r="D23" t="s">
        <v>56</v>
      </c>
      <c r="E23" s="2" t="s">
        <v>72</v>
      </c>
      <c r="G23" t="s">
        <v>97</v>
      </c>
      <c r="H23" t="str">
        <f t="shared" si="27"/>
        <v>wet</v>
      </c>
      <c r="I23" s="2" t="s">
        <v>26</v>
      </c>
      <c r="J23">
        <f t="shared" si="28"/>
        <v>0.91</v>
      </c>
      <c r="K23">
        <f t="shared" si="6"/>
        <v>0.19</v>
      </c>
      <c r="L23" t="s">
        <v>56</v>
      </c>
      <c r="M23">
        <f t="shared" si="29"/>
        <v>3.3999999999999586E-3</v>
      </c>
      <c r="N23">
        <f t="shared" si="17"/>
        <v>0.99660000000000004</v>
      </c>
      <c r="O23">
        <f t="shared" si="0"/>
        <v>1.57</v>
      </c>
      <c r="P23">
        <f t="shared" si="30"/>
        <v>13.2</v>
      </c>
      <c r="Q23">
        <f t="shared" si="31"/>
        <v>7.0000000000000001E-3</v>
      </c>
      <c r="R23">
        <f t="shared" si="32"/>
        <v>0</v>
      </c>
      <c r="S23">
        <f t="shared" si="7"/>
        <v>0.21</v>
      </c>
      <c r="T23">
        <f t="shared" si="1"/>
        <v>0.24</v>
      </c>
      <c r="U23">
        <f t="shared" si="2"/>
        <v>1.0999999999999999E-2</v>
      </c>
      <c r="V23">
        <f t="shared" si="3"/>
        <v>0.6784</v>
      </c>
      <c r="W23">
        <f t="shared" si="33"/>
        <v>6.0000000000000001E-3</v>
      </c>
      <c r="X23">
        <f t="shared" si="34"/>
        <v>0.71</v>
      </c>
      <c r="Y23">
        <f t="shared" si="35"/>
        <v>2.8315099903999653E-4</v>
      </c>
      <c r="Z23">
        <f t="shared" si="4"/>
        <v>4.7000000000000002E-3</v>
      </c>
      <c r="AA23">
        <f t="shared" si="36"/>
        <v>5.4941381214719997E-4</v>
      </c>
      <c r="AB23">
        <f t="shared" si="37"/>
        <v>1.8603020636927772</v>
      </c>
      <c r="AC23">
        <f t="shared" si="38"/>
        <v>3.6096487458071036</v>
      </c>
      <c r="AD23">
        <f t="shared" si="39"/>
        <v>5.4699508094998815E-3</v>
      </c>
      <c r="AE23">
        <f t="shared" si="40"/>
        <v>86724</v>
      </c>
      <c r="AF23">
        <f t="shared" si="41"/>
        <v>0.81694008000000007</v>
      </c>
      <c r="AG23">
        <f t="shared" si="42"/>
        <v>18212.04</v>
      </c>
      <c r="AH23">
        <f t="shared" si="43"/>
        <v>0.20015031960000002</v>
      </c>
      <c r="AI23">
        <f t="shared" si="44"/>
        <v>0</v>
      </c>
      <c r="AJ23">
        <f t="shared" si="45"/>
        <v>0</v>
      </c>
      <c r="AM23" s="2" t="s">
        <v>26</v>
      </c>
      <c r="AN23" s="2">
        <v>0.71</v>
      </c>
      <c r="AP23" s="2"/>
    </row>
    <row r="24" spans="1:45" ht="17">
      <c r="A24" s="3" t="s">
        <v>22</v>
      </c>
      <c r="B24" s="2" t="s">
        <v>16</v>
      </c>
      <c r="C24">
        <v>19</v>
      </c>
      <c r="D24" t="s">
        <v>55</v>
      </c>
      <c r="E24" s="2" t="s">
        <v>74</v>
      </c>
      <c r="G24" t="s">
        <v>98</v>
      </c>
      <c r="H24" t="str">
        <f t="shared" si="27"/>
        <v>wet</v>
      </c>
      <c r="I24" s="2" t="s">
        <v>63</v>
      </c>
      <c r="J24">
        <f t="shared" si="28"/>
        <v>0.91</v>
      </c>
      <c r="K24">
        <f t="shared" si="6"/>
        <v>0.19</v>
      </c>
      <c r="L24" t="s">
        <v>56</v>
      </c>
      <c r="M24">
        <f t="shared" si="29"/>
        <v>3.3999999999999586E-3</v>
      </c>
      <c r="N24">
        <f t="shared" si="17"/>
        <v>0.99660000000000004</v>
      </c>
      <c r="O24">
        <f t="shared" si="0"/>
        <v>1.57</v>
      </c>
      <c r="P24">
        <f t="shared" si="30"/>
        <v>13.2</v>
      </c>
      <c r="Q24">
        <f t="shared" si="31"/>
        <v>1.8E-3</v>
      </c>
      <c r="R24">
        <f t="shared" si="32"/>
        <v>1</v>
      </c>
      <c r="S24">
        <f t="shared" si="7"/>
        <v>0.21</v>
      </c>
      <c r="T24">
        <f t="shared" si="1"/>
        <v>0.24</v>
      </c>
      <c r="U24">
        <f t="shared" si="2"/>
        <v>1.0999999999999999E-2</v>
      </c>
      <c r="V24">
        <f t="shared" si="3"/>
        <v>0.6784</v>
      </c>
      <c r="W24">
        <f t="shared" si="33"/>
        <v>6.0000000000000001E-3</v>
      </c>
      <c r="X24">
        <f t="shared" si="34"/>
        <v>0.75</v>
      </c>
      <c r="Y24">
        <f t="shared" si="35"/>
        <v>2.9910316799999635E-4</v>
      </c>
      <c r="Z24">
        <f t="shared" si="4"/>
        <v>4.7000000000000002E-3</v>
      </c>
      <c r="AA24">
        <f t="shared" si="36"/>
        <v>5.4941381214719997E-4</v>
      </c>
      <c r="AB24">
        <f t="shared" si="37"/>
        <v>2.0742804700799748</v>
      </c>
      <c r="AC24">
        <f t="shared" si="38"/>
        <v>3.8101847872408316</v>
      </c>
      <c r="AD24">
        <f t="shared" si="39"/>
        <v>5.8844652573208072E-3</v>
      </c>
      <c r="AE24">
        <f t="shared" si="40"/>
        <v>91542</v>
      </c>
      <c r="AF24">
        <f t="shared" si="41"/>
        <v>0.86232564000000012</v>
      </c>
      <c r="AG24">
        <f t="shared" si="42"/>
        <v>19223.82</v>
      </c>
      <c r="AH24">
        <f t="shared" si="43"/>
        <v>5.4326515320000004E-2</v>
      </c>
      <c r="AI24">
        <f t="shared" si="44"/>
        <v>21970.079999999998</v>
      </c>
      <c r="AJ24">
        <f t="shared" si="45"/>
        <v>0.37942328159999994</v>
      </c>
      <c r="AM24" s="2" t="s">
        <v>63</v>
      </c>
      <c r="AN24" s="2">
        <v>0.75</v>
      </c>
      <c r="AP24" s="2"/>
      <c r="AQ24" s="2"/>
    </row>
    <row r="25" spans="1:45">
      <c r="A25" s="2" t="s">
        <v>17</v>
      </c>
      <c r="B25" s="2" t="s">
        <v>17</v>
      </c>
      <c r="C25">
        <v>20</v>
      </c>
      <c r="D25" t="s">
        <v>56</v>
      </c>
      <c r="E25" s="2" t="s">
        <v>75</v>
      </c>
      <c r="G25" t="s">
        <v>99</v>
      </c>
      <c r="H25" t="str">
        <f t="shared" si="27"/>
        <v>wet</v>
      </c>
      <c r="I25" s="2" t="s">
        <v>64</v>
      </c>
      <c r="J25">
        <f t="shared" si="28"/>
        <v>2.73</v>
      </c>
      <c r="K25">
        <f t="shared" si="6"/>
        <v>0.19</v>
      </c>
      <c r="L25" t="s">
        <v>56</v>
      </c>
      <c r="M25">
        <f t="shared" si="29"/>
        <v>3.3999999999999586E-3</v>
      </c>
      <c r="N25">
        <f t="shared" si="17"/>
        <v>0.99660000000000004</v>
      </c>
      <c r="O25">
        <f t="shared" si="0"/>
        <v>1.57</v>
      </c>
      <c r="P25">
        <f t="shared" si="30"/>
        <v>39.5</v>
      </c>
      <c r="Q25">
        <f t="shared" si="31"/>
        <v>2.8999999999999998E-3</v>
      </c>
      <c r="R25">
        <f t="shared" si="32"/>
        <v>0</v>
      </c>
      <c r="S25">
        <f t="shared" si="7"/>
        <v>0.21</v>
      </c>
      <c r="T25">
        <f t="shared" si="1"/>
        <v>0.24</v>
      </c>
      <c r="U25">
        <f t="shared" si="2"/>
        <v>1.0999999999999999E-2</v>
      </c>
      <c r="V25">
        <f t="shared" si="3"/>
        <v>0.6784</v>
      </c>
      <c r="W25">
        <f t="shared" si="33"/>
        <v>6.0000000000000001E-3</v>
      </c>
      <c r="X25">
        <f t="shared" si="34"/>
        <v>0.8</v>
      </c>
      <c r="Y25">
        <f t="shared" si="35"/>
        <v>9.5713013759998852E-4</v>
      </c>
      <c r="Z25">
        <f t="shared" si="4"/>
        <v>4.7000000000000002E-3</v>
      </c>
      <c r="AA25">
        <f t="shared" si="36"/>
        <v>1.6482414364416005E-3</v>
      </c>
      <c r="AB25">
        <f t="shared" si="37"/>
        <v>6.987050004479916</v>
      </c>
      <c r="AC25">
        <f t="shared" si="38"/>
        <v>12.032162486023683</v>
      </c>
      <c r="AD25">
        <f t="shared" si="39"/>
        <v>1.90192124905036E-2</v>
      </c>
      <c r="AE25">
        <f t="shared" si="40"/>
        <v>288350</v>
      </c>
      <c r="AF25">
        <f t="shared" si="41"/>
        <v>2.7162570000000006</v>
      </c>
      <c r="AG25">
        <f t="shared" si="42"/>
        <v>60553.5</v>
      </c>
      <c r="AH25">
        <f t="shared" si="43"/>
        <v>0.27570008550000003</v>
      </c>
      <c r="AI25">
        <f t="shared" si="44"/>
        <v>0</v>
      </c>
      <c r="AJ25">
        <f t="shared" si="45"/>
        <v>0</v>
      </c>
      <c r="AM25" s="2" t="s">
        <v>64</v>
      </c>
      <c r="AN25" s="2">
        <v>0.8</v>
      </c>
      <c r="AP25" s="2"/>
      <c r="AQ25" s="2"/>
    </row>
    <row r="26" spans="1:45">
      <c r="A26" s="2" t="s">
        <v>18</v>
      </c>
      <c r="B26" s="2" t="s">
        <v>18</v>
      </c>
      <c r="C26">
        <v>21</v>
      </c>
      <c r="D26" t="s">
        <v>55</v>
      </c>
      <c r="E26" s="2" t="s">
        <v>76</v>
      </c>
      <c r="G26" t="s">
        <v>100</v>
      </c>
      <c r="H26" t="str">
        <f t="shared" si="27"/>
        <v>dry</v>
      </c>
      <c r="I26" s="2" t="s">
        <v>65</v>
      </c>
      <c r="J26">
        <f t="shared" si="28"/>
        <v>0.34</v>
      </c>
      <c r="K26">
        <f t="shared" si="6"/>
        <v>0.19</v>
      </c>
      <c r="L26" t="s">
        <v>56</v>
      </c>
      <c r="M26">
        <f t="shared" si="29"/>
        <v>3.3999999999999586E-3</v>
      </c>
      <c r="N26">
        <f t="shared" si="17"/>
        <v>0.99660000000000004</v>
      </c>
      <c r="O26">
        <f t="shared" si="0"/>
        <v>1.57</v>
      </c>
      <c r="P26">
        <f t="shared" si="30"/>
        <v>7</v>
      </c>
      <c r="Q26">
        <f t="shared" si="31"/>
        <v>8.0000000000000002E-3</v>
      </c>
      <c r="R26">
        <f t="shared" si="32"/>
        <v>1</v>
      </c>
      <c r="S26">
        <f t="shared" si="7"/>
        <v>0.21</v>
      </c>
      <c r="T26">
        <f t="shared" si="1"/>
        <v>0.24</v>
      </c>
      <c r="U26">
        <f t="shared" si="2"/>
        <v>1.0999999999999999E-2</v>
      </c>
      <c r="V26">
        <f t="shared" si="3"/>
        <v>0.6784</v>
      </c>
      <c r="W26">
        <f t="shared" si="33"/>
        <v>2E-3</v>
      </c>
      <c r="X26">
        <f t="shared" si="34"/>
        <v>0.78</v>
      </c>
      <c r="Y26">
        <f t="shared" si="35"/>
        <v>1.162229452799986E-4</v>
      </c>
      <c r="Z26">
        <f t="shared" si="4"/>
        <v>4.7000000000000002E-3</v>
      </c>
      <c r="AA26">
        <f t="shared" si="36"/>
        <v>2.0527549025280004E-4</v>
      </c>
      <c r="AB26">
        <f t="shared" si="37"/>
        <v>0.8908488755711893</v>
      </c>
      <c r="AC26">
        <f t="shared" si="38"/>
        <v>1.5734366327877123</v>
      </c>
      <c r="AD26">
        <f t="shared" si="39"/>
        <v>2.4642855083589015E-3</v>
      </c>
      <c r="AE26">
        <f t="shared" si="40"/>
        <v>53655</v>
      </c>
      <c r="AF26">
        <f t="shared" si="41"/>
        <v>0.16847670000000003</v>
      </c>
      <c r="AG26">
        <f t="shared" si="42"/>
        <v>11267.55</v>
      </c>
      <c r="AH26">
        <f t="shared" si="43"/>
        <v>0.141520428</v>
      </c>
      <c r="AI26">
        <f t="shared" si="44"/>
        <v>12877.199999999999</v>
      </c>
      <c r="AJ26">
        <f t="shared" si="45"/>
        <v>0.22238924399999996</v>
      </c>
      <c r="AM26" s="2" t="s">
        <v>65</v>
      </c>
      <c r="AN26" s="2">
        <v>0.78</v>
      </c>
      <c r="AP26" s="2"/>
      <c r="AQ26" s="2"/>
    </row>
    <row r="27" spans="1:45">
      <c r="A27" s="2" t="s">
        <v>19</v>
      </c>
      <c r="B27" s="2" t="s">
        <v>19</v>
      </c>
      <c r="C27">
        <v>22</v>
      </c>
      <c r="D27" t="s">
        <v>56</v>
      </c>
      <c r="E27" s="2" t="s">
        <v>73</v>
      </c>
      <c r="G27" t="s">
        <v>101</v>
      </c>
      <c r="H27" t="str">
        <f t="shared" si="27"/>
        <v>dry</v>
      </c>
      <c r="I27" s="2" t="s">
        <v>66</v>
      </c>
      <c r="J27">
        <f t="shared" si="28"/>
        <v>2.73</v>
      </c>
      <c r="K27">
        <f t="shared" si="6"/>
        <v>0.19</v>
      </c>
      <c r="L27" t="s">
        <v>56</v>
      </c>
      <c r="M27">
        <f t="shared" si="29"/>
        <v>3.3999999999999586E-3</v>
      </c>
      <c r="N27">
        <f t="shared" si="17"/>
        <v>0.99660000000000004</v>
      </c>
      <c r="O27">
        <f t="shared" si="0"/>
        <v>1.57</v>
      </c>
      <c r="P27">
        <f t="shared" si="30"/>
        <v>39.5</v>
      </c>
      <c r="Q27">
        <f t="shared" si="31"/>
        <v>5.8999999999999999E-3</v>
      </c>
      <c r="R27">
        <f t="shared" si="32"/>
        <v>0</v>
      </c>
      <c r="S27">
        <f t="shared" si="7"/>
        <v>0.21</v>
      </c>
      <c r="T27">
        <f t="shared" si="1"/>
        <v>0.24</v>
      </c>
      <c r="U27">
        <f t="shared" si="2"/>
        <v>1.0999999999999999E-2</v>
      </c>
      <c r="V27">
        <f t="shared" si="3"/>
        <v>0.6784</v>
      </c>
      <c r="W27">
        <f t="shared" si="33"/>
        <v>2E-3</v>
      </c>
      <c r="X27">
        <f t="shared" si="34"/>
        <v>0.74</v>
      </c>
      <c r="Y27">
        <f t="shared" si="35"/>
        <v>8.8534537727998931E-4</v>
      </c>
      <c r="Z27">
        <f t="shared" si="4"/>
        <v>4.7000000000000002E-3</v>
      </c>
      <c r="AA27">
        <f t="shared" si="36"/>
        <v>1.6482414364416005E-3</v>
      </c>
      <c r="AB27">
        <f t="shared" si="37"/>
        <v>7.1093233795583135</v>
      </c>
      <c r="AC27">
        <f t="shared" si="38"/>
        <v>13.235378734626051</v>
      </c>
      <c r="AD27">
        <f t="shared" si="39"/>
        <v>2.0344702114184366E-2</v>
      </c>
      <c r="AE27">
        <f t="shared" si="40"/>
        <v>317185</v>
      </c>
      <c r="AF27">
        <f t="shared" si="41"/>
        <v>0.99596090000000004</v>
      </c>
      <c r="AG27">
        <f t="shared" si="42"/>
        <v>66608.849999999991</v>
      </c>
      <c r="AH27">
        <f t="shared" si="43"/>
        <v>0.61699777754999996</v>
      </c>
      <c r="AI27">
        <f t="shared" si="44"/>
        <v>0</v>
      </c>
      <c r="AJ27">
        <f t="shared" si="45"/>
        <v>0</v>
      </c>
      <c r="AM27" s="2" t="s">
        <v>66</v>
      </c>
      <c r="AN27" s="2">
        <v>0.74</v>
      </c>
      <c r="AP27" s="2"/>
      <c r="AQ27" s="2"/>
    </row>
    <row r="28" spans="1:45">
      <c r="A28" s="2" t="s">
        <v>20</v>
      </c>
      <c r="B28" s="2" t="s">
        <v>20</v>
      </c>
      <c r="C28">
        <v>23</v>
      </c>
      <c r="D28" t="s">
        <v>55</v>
      </c>
      <c r="E28" s="2" t="s">
        <v>72</v>
      </c>
      <c r="G28" t="s">
        <v>102</v>
      </c>
      <c r="H28" t="str">
        <f t="shared" si="27"/>
        <v>dry</v>
      </c>
      <c r="I28" s="2" t="s">
        <v>67</v>
      </c>
      <c r="J28">
        <f t="shared" si="28"/>
        <v>0.91</v>
      </c>
      <c r="K28">
        <f t="shared" si="6"/>
        <v>0.19</v>
      </c>
      <c r="L28" t="s">
        <v>56</v>
      </c>
      <c r="M28">
        <f t="shared" si="29"/>
        <v>3.3999999999999586E-3</v>
      </c>
      <c r="N28">
        <f t="shared" si="17"/>
        <v>0.99660000000000004</v>
      </c>
      <c r="O28">
        <f t="shared" si="0"/>
        <v>1.57</v>
      </c>
      <c r="P28">
        <f t="shared" si="30"/>
        <v>13.2</v>
      </c>
      <c r="Q28">
        <f t="shared" si="31"/>
        <v>7.0000000000000001E-3</v>
      </c>
      <c r="R28">
        <f t="shared" si="32"/>
        <v>1</v>
      </c>
      <c r="S28">
        <f t="shared" si="7"/>
        <v>0.21</v>
      </c>
      <c r="T28">
        <f t="shared" si="1"/>
        <v>0.24</v>
      </c>
      <c r="U28">
        <f t="shared" si="2"/>
        <v>1.0999999999999999E-2</v>
      </c>
      <c r="V28">
        <f t="shared" si="3"/>
        <v>0.6784</v>
      </c>
      <c r="W28">
        <f t="shared" si="33"/>
        <v>2E-3</v>
      </c>
      <c r="X28">
        <f t="shared" si="34"/>
        <v>0.7</v>
      </c>
      <c r="Y28">
        <f t="shared" si="35"/>
        <v>2.7916295679999655E-4</v>
      </c>
      <c r="Z28">
        <f t="shared" si="4"/>
        <v>4.7000000000000002E-3</v>
      </c>
      <c r="AA28">
        <f t="shared" si="36"/>
        <v>5.4941381214719997E-4</v>
      </c>
      <c r="AB28">
        <f t="shared" si="37"/>
        <v>2.343573022335971</v>
      </c>
      <c r="AC28">
        <f t="shared" si="38"/>
        <v>4.6123289529757443</v>
      </c>
      <c r="AD28">
        <f t="shared" si="39"/>
        <v>6.9559019753117146E-3</v>
      </c>
      <c r="AE28">
        <f t="shared" si="40"/>
        <v>110813.99999999999</v>
      </c>
      <c r="AF28">
        <f t="shared" si="41"/>
        <v>0.34795596000000001</v>
      </c>
      <c r="AG28">
        <f t="shared" si="42"/>
        <v>23270.939999999995</v>
      </c>
      <c r="AH28">
        <f t="shared" si="43"/>
        <v>0.2557476306</v>
      </c>
      <c r="AI28">
        <f t="shared" si="44"/>
        <v>26595.359999999997</v>
      </c>
      <c r="AJ28">
        <f t="shared" si="45"/>
        <v>0.45930186719999994</v>
      </c>
      <c r="AM28" s="2" t="s">
        <v>67</v>
      </c>
      <c r="AN28" s="2">
        <v>0.7</v>
      </c>
      <c r="AP28" s="2"/>
      <c r="AQ28" s="2"/>
    </row>
    <row r="29" spans="1:45">
      <c r="A29" s="2" t="s">
        <v>62</v>
      </c>
      <c r="B29" s="2" t="s">
        <v>21</v>
      </c>
      <c r="C29">
        <v>24</v>
      </c>
      <c r="D29" t="s">
        <v>56</v>
      </c>
      <c r="E29" s="2" t="s">
        <v>74</v>
      </c>
      <c r="G29" t="s">
        <v>103</v>
      </c>
      <c r="H29" t="str">
        <f t="shared" si="27"/>
        <v>dry</v>
      </c>
      <c r="I29" s="2" t="s">
        <v>68</v>
      </c>
      <c r="J29">
        <f t="shared" si="28"/>
        <v>0.34</v>
      </c>
      <c r="K29">
        <f t="shared" si="6"/>
        <v>0.19</v>
      </c>
      <c r="L29" t="s">
        <v>56</v>
      </c>
      <c r="M29">
        <f t="shared" si="29"/>
        <v>3.3999999999999586E-3</v>
      </c>
      <c r="N29">
        <f t="shared" si="17"/>
        <v>0.99660000000000004</v>
      </c>
      <c r="O29">
        <f t="shared" si="0"/>
        <v>1.57</v>
      </c>
      <c r="P29">
        <f t="shared" si="30"/>
        <v>7</v>
      </c>
      <c r="Q29">
        <f t="shared" si="31"/>
        <v>1.8E-3</v>
      </c>
      <c r="R29">
        <f t="shared" si="32"/>
        <v>0</v>
      </c>
      <c r="S29">
        <f t="shared" si="7"/>
        <v>0.21</v>
      </c>
      <c r="T29">
        <f t="shared" si="1"/>
        <v>0.24</v>
      </c>
      <c r="U29">
        <f t="shared" si="2"/>
        <v>1.0999999999999999E-2</v>
      </c>
      <c r="V29">
        <f t="shared" si="3"/>
        <v>0.6784</v>
      </c>
      <c r="W29">
        <f t="shared" si="33"/>
        <v>2E-3</v>
      </c>
      <c r="X29">
        <f t="shared" si="34"/>
        <v>0.74</v>
      </c>
      <c r="Y29">
        <f t="shared" si="35"/>
        <v>1.1026279423999866E-4</v>
      </c>
      <c r="Z29">
        <f t="shared" si="4"/>
        <v>4.7000000000000002E-3</v>
      </c>
      <c r="AA29">
        <f t="shared" si="36"/>
        <v>2.0527549025280004E-4</v>
      </c>
      <c r="AB29">
        <f t="shared" si="37"/>
        <v>0.96590207754238833</v>
      </c>
      <c r="AC29">
        <f t="shared" si="38"/>
        <v>1.7982132946145284</v>
      </c>
      <c r="AD29">
        <f t="shared" si="39"/>
        <v>2.764115372156917E-3</v>
      </c>
      <c r="AE29">
        <f t="shared" si="40"/>
        <v>61320</v>
      </c>
      <c r="AF29">
        <f t="shared" si="41"/>
        <v>0.19254480000000002</v>
      </c>
      <c r="AG29">
        <f t="shared" si="42"/>
        <v>12877.199999999999</v>
      </c>
      <c r="AH29">
        <f t="shared" si="43"/>
        <v>3.6390967199999999E-2</v>
      </c>
      <c r="AI29">
        <f t="shared" si="44"/>
        <v>0</v>
      </c>
      <c r="AJ29">
        <f t="shared" si="45"/>
        <v>0</v>
      </c>
      <c r="AM29" s="2" t="s">
        <v>68</v>
      </c>
      <c r="AN29" s="2">
        <v>0.74</v>
      </c>
      <c r="AP29" s="2"/>
      <c r="AQ29" s="2"/>
    </row>
    <row r="30" spans="1:45">
      <c r="AM30" s="2" t="s">
        <v>69</v>
      </c>
      <c r="AN30" s="2">
        <v>0.76</v>
      </c>
      <c r="AP30" s="2"/>
      <c r="AQ30" s="2"/>
    </row>
    <row r="31" spans="1:45">
      <c r="E31" s="2"/>
      <c r="I31" s="2"/>
      <c r="AR31" t="s">
        <v>94</v>
      </c>
      <c r="AS31" t="s">
        <v>39</v>
      </c>
    </row>
    <row r="32" spans="1:45">
      <c r="E32" s="2"/>
      <c r="AM32" s="2" t="s">
        <v>28</v>
      </c>
      <c r="AR32" t="s">
        <v>95</v>
      </c>
      <c r="AS32" t="s">
        <v>39</v>
      </c>
    </row>
    <row r="33" spans="1:45">
      <c r="E33" s="2"/>
      <c r="AM33">
        <v>4.7000000000000002E-3</v>
      </c>
      <c r="AR33" t="s">
        <v>96</v>
      </c>
      <c r="AS33" t="s">
        <v>39</v>
      </c>
    </row>
    <row r="34" spans="1:45">
      <c r="E34" s="2"/>
      <c r="AR34" t="s">
        <v>97</v>
      </c>
      <c r="AS34" t="s">
        <v>39</v>
      </c>
    </row>
    <row r="35" spans="1:45">
      <c r="E35" s="2"/>
      <c r="AM35" t="s">
        <v>29</v>
      </c>
      <c r="AR35" t="s">
        <v>98</v>
      </c>
      <c r="AS35" t="s">
        <v>39</v>
      </c>
    </row>
    <row r="36" spans="1:45">
      <c r="E36" s="2"/>
      <c r="AM36" t="s">
        <v>30</v>
      </c>
      <c r="AR36" t="s">
        <v>99</v>
      </c>
      <c r="AS36" t="s">
        <v>39</v>
      </c>
    </row>
    <row r="37" spans="1:45">
      <c r="E37" s="2"/>
      <c r="AM37" t="s">
        <v>90</v>
      </c>
      <c r="AN37">
        <v>0.66</v>
      </c>
      <c r="AR37" t="s">
        <v>100</v>
      </c>
      <c r="AS37" t="s">
        <v>40</v>
      </c>
    </row>
    <row r="38" spans="1:45">
      <c r="E38" s="2"/>
      <c r="AM38">
        <v>11</v>
      </c>
      <c r="AN38">
        <v>0.68</v>
      </c>
      <c r="AR38" t="s">
        <v>101</v>
      </c>
      <c r="AS38" t="s">
        <v>40</v>
      </c>
    </row>
    <row r="39" spans="1:45">
      <c r="AM39">
        <v>12</v>
      </c>
      <c r="AN39">
        <v>0.7</v>
      </c>
      <c r="AR39" t="s">
        <v>102</v>
      </c>
      <c r="AS39" t="s">
        <v>40</v>
      </c>
    </row>
    <row r="40" spans="1:45">
      <c r="AM40">
        <v>13</v>
      </c>
      <c r="AN40">
        <v>0.71</v>
      </c>
      <c r="AR40" t="s">
        <v>103</v>
      </c>
      <c r="AS40" t="s">
        <v>40</v>
      </c>
    </row>
    <row r="41" spans="1:45" ht="17">
      <c r="A41" s="3" t="s">
        <v>3</v>
      </c>
      <c r="B41" s="2" t="s">
        <v>4</v>
      </c>
      <c r="C41">
        <v>5</v>
      </c>
      <c r="D41" t="s">
        <v>55</v>
      </c>
      <c r="E41" s="2" t="s">
        <v>73</v>
      </c>
      <c r="F41" t="s">
        <v>90</v>
      </c>
      <c r="I41" t="s">
        <v>65</v>
      </c>
      <c r="J41">
        <f>VLOOKUP(A41, $AM$11:$AN$18,2,FALSE)</f>
        <v>2.73</v>
      </c>
      <c r="K41">
        <f t="shared" ref="K41:K59" si="46">$AQ$5</f>
        <v>0.19</v>
      </c>
      <c r="L41" t="s">
        <v>56</v>
      </c>
      <c r="M41">
        <f>1-N41</f>
        <v>3.3999999999999586E-3</v>
      </c>
      <c r="N41">
        <f>IF(L41="yes", 1, 0.9966)</f>
        <v>0.99660000000000004</v>
      </c>
      <c r="O41">
        <f t="shared" ref="O41:O59" si="47">$AN$4</f>
        <v>1.57</v>
      </c>
      <c r="P41">
        <f>VLOOKUP(A41, $AM$11:$AO$18,3,FALSE)</f>
        <v>39.5</v>
      </c>
      <c r="Q41">
        <f>VLOOKUP(E41,$AR$10:$AS$22,2,FALSE)</f>
        <v>5.8999999999999999E-3</v>
      </c>
      <c r="R41">
        <f>IF(D41="yes", 1, 0)</f>
        <v>1</v>
      </c>
      <c r="T41">
        <f t="shared" ref="T41:T59" si="48">$AQ$3</f>
        <v>0.24</v>
      </c>
      <c r="U41">
        <f t="shared" ref="U41:U59" si="49">$AQ$4</f>
        <v>1.0999999999999999E-2</v>
      </c>
      <c r="V41">
        <f t="shared" ref="V41:V59" si="50">$AN$5</f>
        <v>0.6784</v>
      </c>
      <c r="X41">
        <f>VLOOKUP(F41, $AM$37:$AN$55, 2, FALSE)</f>
        <v>0.66</v>
      </c>
      <c r="Y41">
        <f>J41*K41*M41*X41*V41</f>
        <v>7.8963236351999055E-4</v>
      </c>
      <c r="Z41">
        <f t="shared" ref="Z41:Z59" si="51">$AM$33</f>
        <v>4.7000000000000002E-3</v>
      </c>
      <c r="AA41">
        <f>J41*K41*N41*Z41*V41</f>
        <v>1.6482414364416005E-3</v>
      </c>
      <c r="AB41">
        <f>C41*Y41*365</f>
        <v>1.4410790634239827</v>
      </c>
      <c r="AC41">
        <f>C41*AA41*365</f>
        <v>3.0080406215059208</v>
      </c>
      <c r="AD41">
        <f>(AB41+AC41)*10^-3</f>
        <v>4.4491196849299032E-3</v>
      </c>
      <c r="AM41">
        <v>14</v>
      </c>
      <c r="AN41">
        <v>0.73</v>
      </c>
    </row>
    <row r="42" spans="1:45" ht="17">
      <c r="A42" s="3" t="s">
        <v>3</v>
      </c>
      <c r="B42" s="2" t="s">
        <v>5</v>
      </c>
      <c r="C42">
        <v>6</v>
      </c>
      <c r="D42" t="s">
        <v>56</v>
      </c>
      <c r="E42" s="2" t="s">
        <v>72</v>
      </c>
      <c r="F42">
        <v>11</v>
      </c>
      <c r="I42" t="s">
        <v>65</v>
      </c>
      <c r="J42">
        <f>VLOOKUP(A42, $AM$11:$AN$18,2,FALSE)</f>
        <v>2.73</v>
      </c>
      <c r="K42">
        <f t="shared" si="46"/>
        <v>0.19</v>
      </c>
      <c r="L42" t="s">
        <v>56</v>
      </c>
      <c r="M42">
        <f>1-N42</f>
        <v>3.3999999999999586E-3</v>
      </c>
      <c r="N42">
        <f t="shared" ref="N42:N59" si="52">IF(L42="yes", 1, 0.9966)</f>
        <v>0.99660000000000004</v>
      </c>
      <c r="O42">
        <f t="shared" si="47"/>
        <v>1.57</v>
      </c>
      <c r="P42">
        <f>VLOOKUP(A42, $AM$11:$AO$18,3,FALSE)</f>
        <v>39.5</v>
      </c>
      <c r="Q42">
        <f>VLOOKUP(E42,$AR$10:$AS$22,2,FALSE)</f>
        <v>7.0000000000000001E-3</v>
      </c>
      <c r="R42">
        <f>IF(D42="yes", 1, 0)</f>
        <v>0</v>
      </c>
      <c r="T42">
        <f t="shared" si="48"/>
        <v>0.24</v>
      </c>
      <c r="U42">
        <f t="shared" si="49"/>
        <v>1.0999999999999999E-2</v>
      </c>
      <c r="V42">
        <f t="shared" si="50"/>
        <v>0.6784</v>
      </c>
      <c r="X42">
        <f t="shared" ref="X42:X47" si="53">VLOOKUP(F42, $AM$37:$AN$55, 2, FALSE)</f>
        <v>0.68</v>
      </c>
      <c r="Y42">
        <f>J42*K42*M42*X42*V42</f>
        <v>8.1356061695999021E-4</v>
      </c>
      <c r="Z42">
        <f t="shared" si="51"/>
        <v>4.7000000000000002E-3</v>
      </c>
      <c r="AA42">
        <f>J42*K42*N42*Z42*V42</f>
        <v>1.6482414364416005E-3</v>
      </c>
      <c r="AB42">
        <f>C42*Y42*365</f>
        <v>1.7816977511423786</v>
      </c>
      <c r="AC42">
        <f>C42*AA42*365</f>
        <v>3.6096487458071049</v>
      </c>
      <c r="AD42">
        <f>(AB42+AC42)*10^-3</f>
        <v>5.3913464969494842E-3</v>
      </c>
      <c r="AM42">
        <v>15</v>
      </c>
      <c r="AN42">
        <v>0.74</v>
      </c>
    </row>
    <row r="43" spans="1:45" ht="17">
      <c r="A43" s="3" t="s">
        <v>3</v>
      </c>
      <c r="B43" s="2" t="s">
        <v>6</v>
      </c>
      <c r="C43">
        <v>7</v>
      </c>
      <c r="D43" t="s">
        <v>55</v>
      </c>
      <c r="E43" s="2" t="s">
        <v>74</v>
      </c>
      <c r="F43">
        <v>12</v>
      </c>
      <c r="I43" t="s">
        <v>65</v>
      </c>
      <c r="J43">
        <f t="shared" ref="J43:J47" si="54">VLOOKUP(A43, $AM$11:$AN$18,2,FALSE)</f>
        <v>2.73</v>
      </c>
      <c r="K43">
        <f t="shared" si="46"/>
        <v>0.19</v>
      </c>
      <c r="L43" t="s">
        <v>56</v>
      </c>
      <c r="M43">
        <f t="shared" ref="M43:M47" si="55">1-N43</f>
        <v>3.3999999999999586E-3</v>
      </c>
      <c r="N43">
        <f t="shared" si="52"/>
        <v>0.99660000000000004</v>
      </c>
      <c r="O43">
        <f t="shared" si="47"/>
        <v>1.57</v>
      </c>
      <c r="P43">
        <f t="shared" ref="P43:P47" si="56">VLOOKUP(A43, $AM$11:$AO$18,3,FALSE)</f>
        <v>39.5</v>
      </c>
      <c r="Q43">
        <f t="shared" ref="Q43:Q47" si="57">VLOOKUP(E43,$AR$10:$AS$22,2,FALSE)</f>
        <v>1.8E-3</v>
      </c>
      <c r="R43">
        <f t="shared" ref="R43:R47" si="58">IF(D43="yes", 1, 0)</f>
        <v>1</v>
      </c>
      <c r="T43">
        <f t="shared" si="48"/>
        <v>0.24</v>
      </c>
      <c r="U43">
        <f t="shared" si="49"/>
        <v>1.0999999999999999E-2</v>
      </c>
      <c r="V43">
        <f t="shared" si="50"/>
        <v>0.6784</v>
      </c>
      <c r="X43">
        <f t="shared" si="53"/>
        <v>0.7</v>
      </c>
      <c r="Y43">
        <f t="shared" ref="Y43:Y47" si="59">J43*K43*M43*X43*V43</f>
        <v>8.3748887039998988E-4</v>
      </c>
      <c r="Z43">
        <f t="shared" si="51"/>
        <v>4.7000000000000002E-3</v>
      </c>
      <c r="AA43">
        <f t="shared" ref="AA43:AA47" si="60">J43*K43*N43*Z43*V43</f>
        <v>1.6482414364416005E-3</v>
      </c>
      <c r="AB43">
        <f t="shared" ref="AB43:AB47" si="61">C43*Y43*365</f>
        <v>2.1397840638719741</v>
      </c>
      <c r="AC43">
        <f t="shared" ref="AC43:AC47" si="62">C43*AA43*365</f>
        <v>4.2112568701082891</v>
      </c>
      <c r="AD43">
        <f t="shared" ref="AD43:AD47" si="63">(AB43+AC43)*10^-3</f>
        <v>6.3510409339802634E-3</v>
      </c>
      <c r="AM43">
        <v>16</v>
      </c>
      <c r="AN43">
        <v>0.75</v>
      </c>
    </row>
    <row r="44" spans="1:45" ht="17">
      <c r="A44" s="3" t="s">
        <v>3</v>
      </c>
      <c r="B44" s="2" t="s">
        <v>7</v>
      </c>
      <c r="C44">
        <v>8</v>
      </c>
      <c r="D44" t="s">
        <v>56</v>
      </c>
      <c r="E44" s="2" t="s">
        <v>75</v>
      </c>
      <c r="F44">
        <v>13</v>
      </c>
      <c r="I44" t="s">
        <v>65</v>
      </c>
      <c r="J44">
        <f t="shared" si="54"/>
        <v>2.73</v>
      </c>
      <c r="K44">
        <f t="shared" si="46"/>
        <v>0.19</v>
      </c>
      <c r="L44" t="s">
        <v>56</v>
      </c>
      <c r="M44">
        <f t="shared" si="55"/>
        <v>3.3999999999999586E-3</v>
      </c>
      <c r="N44">
        <f t="shared" si="52"/>
        <v>0.99660000000000004</v>
      </c>
      <c r="O44">
        <f t="shared" si="47"/>
        <v>1.57</v>
      </c>
      <c r="P44">
        <f t="shared" si="56"/>
        <v>39.5</v>
      </c>
      <c r="Q44">
        <f t="shared" si="57"/>
        <v>2.8999999999999998E-3</v>
      </c>
      <c r="R44">
        <f t="shared" si="58"/>
        <v>0</v>
      </c>
      <c r="T44">
        <f t="shared" si="48"/>
        <v>0.24</v>
      </c>
      <c r="U44">
        <f t="shared" si="49"/>
        <v>1.0999999999999999E-2</v>
      </c>
      <c r="V44">
        <f t="shared" si="50"/>
        <v>0.6784</v>
      </c>
      <c r="X44">
        <f t="shared" si="53"/>
        <v>0.71</v>
      </c>
      <c r="Y44">
        <f t="shared" si="59"/>
        <v>8.4945299711998976E-4</v>
      </c>
      <c r="Z44">
        <f t="shared" si="51"/>
        <v>4.7000000000000002E-3</v>
      </c>
      <c r="AA44">
        <f t="shared" si="60"/>
        <v>1.6482414364416005E-3</v>
      </c>
      <c r="AB44">
        <f t="shared" si="61"/>
        <v>2.4804027515903702</v>
      </c>
      <c r="AC44">
        <f t="shared" si="62"/>
        <v>4.8128649944094732</v>
      </c>
      <c r="AD44">
        <f t="shared" si="63"/>
        <v>7.2932677459998435E-3</v>
      </c>
      <c r="AM44">
        <v>17</v>
      </c>
      <c r="AN44">
        <v>0.76</v>
      </c>
    </row>
    <row r="45" spans="1:45" ht="17">
      <c r="A45" s="3" t="s">
        <v>23</v>
      </c>
      <c r="B45" s="2" t="s">
        <v>8</v>
      </c>
      <c r="C45">
        <v>9</v>
      </c>
      <c r="D45" t="s">
        <v>55</v>
      </c>
      <c r="E45" s="2" t="s">
        <v>76</v>
      </c>
      <c r="F45">
        <v>14</v>
      </c>
      <c r="I45" t="s">
        <v>65</v>
      </c>
      <c r="J45">
        <f t="shared" si="54"/>
        <v>0.34</v>
      </c>
      <c r="K45">
        <f t="shared" si="46"/>
        <v>0.19</v>
      </c>
      <c r="L45" t="s">
        <v>56</v>
      </c>
      <c r="M45">
        <f t="shared" si="55"/>
        <v>3.3999999999999586E-3</v>
      </c>
      <c r="N45">
        <f t="shared" si="52"/>
        <v>0.99660000000000004</v>
      </c>
      <c r="O45">
        <f t="shared" si="47"/>
        <v>1.57</v>
      </c>
      <c r="P45">
        <f t="shared" si="56"/>
        <v>7</v>
      </c>
      <c r="Q45">
        <f t="shared" si="57"/>
        <v>8.0000000000000002E-3</v>
      </c>
      <c r="R45">
        <f t="shared" si="58"/>
        <v>1</v>
      </c>
      <c r="T45">
        <f t="shared" si="48"/>
        <v>0.24</v>
      </c>
      <c r="U45">
        <f t="shared" si="49"/>
        <v>1.0999999999999999E-2</v>
      </c>
      <c r="V45">
        <f t="shared" si="50"/>
        <v>0.6784</v>
      </c>
      <c r="X45">
        <f t="shared" si="53"/>
        <v>0.73</v>
      </c>
      <c r="Y45">
        <f t="shared" si="59"/>
        <v>1.0877275647999869E-4</v>
      </c>
      <c r="Z45">
        <f t="shared" si="51"/>
        <v>4.7000000000000002E-3</v>
      </c>
      <c r="AA45">
        <f t="shared" si="60"/>
        <v>2.0527549025280004E-4</v>
      </c>
      <c r="AB45">
        <f t="shared" si="61"/>
        <v>0.35731850503679569</v>
      </c>
      <c r="AC45">
        <f t="shared" si="62"/>
        <v>0.6743299854804482</v>
      </c>
      <c r="AD45">
        <f t="shared" si="63"/>
        <v>1.0316484905172438E-3</v>
      </c>
      <c r="AM45">
        <v>18</v>
      </c>
      <c r="AN45">
        <v>0.77</v>
      </c>
    </row>
    <row r="46" spans="1:45" ht="17">
      <c r="A46" s="3" t="s">
        <v>23</v>
      </c>
      <c r="B46" s="2" t="s">
        <v>9</v>
      </c>
      <c r="C46">
        <v>10</v>
      </c>
      <c r="D46" t="s">
        <v>56</v>
      </c>
      <c r="E46" s="2" t="s">
        <v>73</v>
      </c>
      <c r="F46">
        <v>15</v>
      </c>
      <c r="I46" s="2" t="s">
        <v>26</v>
      </c>
      <c r="J46">
        <f t="shared" si="54"/>
        <v>0.34</v>
      </c>
      <c r="K46">
        <f t="shared" si="46"/>
        <v>0.19</v>
      </c>
      <c r="L46" t="s">
        <v>56</v>
      </c>
      <c r="M46">
        <f t="shared" si="55"/>
        <v>3.3999999999999586E-3</v>
      </c>
      <c r="N46">
        <f t="shared" si="52"/>
        <v>0.99660000000000004</v>
      </c>
      <c r="O46">
        <f t="shared" si="47"/>
        <v>1.57</v>
      </c>
      <c r="P46">
        <f t="shared" si="56"/>
        <v>7</v>
      </c>
      <c r="Q46">
        <f t="shared" si="57"/>
        <v>5.8999999999999999E-3</v>
      </c>
      <c r="R46">
        <f t="shared" si="58"/>
        <v>0</v>
      </c>
      <c r="T46">
        <f t="shared" si="48"/>
        <v>0.24</v>
      </c>
      <c r="U46">
        <f t="shared" si="49"/>
        <v>1.0999999999999999E-2</v>
      </c>
      <c r="V46">
        <f t="shared" si="50"/>
        <v>0.6784</v>
      </c>
      <c r="X46">
        <f t="shared" si="53"/>
        <v>0.74</v>
      </c>
      <c r="Y46">
        <f t="shared" si="59"/>
        <v>1.1026279423999866E-4</v>
      </c>
      <c r="Z46">
        <f t="shared" si="51"/>
        <v>4.7000000000000002E-3</v>
      </c>
      <c r="AA46">
        <f t="shared" si="60"/>
        <v>2.0527549025280004E-4</v>
      </c>
      <c r="AB46">
        <f t="shared" si="61"/>
        <v>0.40245919897599514</v>
      </c>
      <c r="AC46">
        <f t="shared" si="62"/>
        <v>0.74925553942272027</v>
      </c>
      <c r="AD46">
        <f t="shared" si="63"/>
        <v>1.1517147383987155E-3</v>
      </c>
      <c r="AM46">
        <v>19</v>
      </c>
      <c r="AN46">
        <v>0.77</v>
      </c>
    </row>
    <row r="47" spans="1:45" ht="17">
      <c r="A47" s="3" t="s">
        <v>23</v>
      </c>
      <c r="B47" s="2" t="s">
        <v>109</v>
      </c>
      <c r="C47">
        <v>11</v>
      </c>
      <c r="D47" t="s">
        <v>55</v>
      </c>
      <c r="E47" s="2" t="s">
        <v>72</v>
      </c>
      <c r="F47">
        <v>16</v>
      </c>
      <c r="I47" s="2" t="s">
        <v>63</v>
      </c>
      <c r="J47">
        <f t="shared" si="54"/>
        <v>0.34</v>
      </c>
      <c r="K47">
        <f t="shared" si="46"/>
        <v>0.19</v>
      </c>
      <c r="L47" t="s">
        <v>56</v>
      </c>
      <c r="M47">
        <f t="shared" si="55"/>
        <v>3.3999999999999586E-3</v>
      </c>
      <c r="N47">
        <f t="shared" si="52"/>
        <v>0.99660000000000004</v>
      </c>
      <c r="O47">
        <f t="shared" si="47"/>
        <v>1.57</v>
      </c>
      <c r="P47">
        <f t="shared" si="56"/>
        <v>7</v>
      </c>
      <c r="Q47">
        <f t="shared" si="57"/>
        <v>7.0000000000000001E-3</v>
      </c>
      <c r="R47">
        <f t="shared" si="58"/>
        <v>1</v>
      </c>
      <c r="T47">
        <f t="shared" si="48"/>
        <v>0.24</v>
      </c>
      <c r="U47">
        <f t="shared" si="49"/>
        <v>1.0999999999999999E-2</v>
      </c>
      <c r="V47">
        <f t="shared" si="50"/>
        <v>0.6784</v>
      </c>
      <c r="X47">
        <f t="shared" si="53"/>
        <v>0.75</v>
      </c>
      <c r="Y47">
        <f t="shared" si="59"/>
        <v>1.1175283199999866E-4</v>
      </c>
      <c r="Z47">
        <f t="shared" si="51"/>
        <v>4.7000000000000002E-3</v>
      </c>
      <c r="AA47">
        <f t="shared" si="60"/>
        <v>2.0527549025280004E-4</v>
      </c>
      <c r="AB47">
        <f t="shared" si="61"/>
        <v>0.44868762047999466</v>
      </c>
      <c r="AC47">
        <f t="shared" si="62"/>
        <v>0.82418109336499212</v>
      </c>
      <c r="AD47">
        <f t="shared" si="63"/>
        <v>1.2728687138449867E-3</v>
      </c>
      <c r="AM47">
        <v>20</v>
      </c>
      <c r="AN47">
        <v>0.78</v>
      </c>
    </row>
    <row r="48" spans="1:45" ht="17">
      <c r="A48" s="3" t="s">
        <v>23</v>
      </c>
      <c r="B48" s="2" t="s">
        <v>10</v>
      </c>
      <c r="C48">
        <v>13</v>
      </c>
      <c r="D48" t="s">
        <v>55</v>
      </c>
      <c r="E48" s="2" t="s">
        <v>74</v>
      </c>
      <c r="F48">
        <v>18</v>
      </c>
      <c r="I48" s="2" t="s">
        <v>65</v>
      </c>
      <c r="J48">
        <f t="shared" ref="J48:J59" si="64">VLOOKUP(A48, $AM$11:$AN$18,2,FALSE)</f>
        <v>0.34</v>
      </c>
      <c r="K48">
        <f t="shared" si="46"/>
        <v>0.19</v>
      </c>
      <c r="L48" t="s">
        <v>56</v>
      </c>
      <c r="M48">
        <f t="shared" ref="M48:M59" si="65">1-N48</f>
        <v>3.3999999999999586E-3</v>
      </c>
      <c r="N48">
        <f t="shared" si="52"/>
        <v>0.99660000000000004</v>
      </c>
      <c r="O48">
        <f t="shared" si="47"/>
        <v>1.57</v>
      </c>
      <c r="P48">
        <f t="shared" ref="P48:P59" si="66">VLOOKUP(A48, $AM$11:$AO$18,3,FALSE)</f>
        <v>7</v>
      </c>
      <c r="Q48">
        <f t="shared" ref="Q48:Q59" si="67">VLOOKUP(E48,$AR$10:$AS$22,2,FALSE)</f>
        <v>1.8E-3</v>
      </c>
      <c r="R48">
        <f t="shared" ref="R48:R59" si="68">IF(D48="yes", 1, 0)</f>
        <v>1</v>
      </c>
      <c r="T48">
        <f t="shared" si="48"/>
        <v>0.24</v>
      </c>
      <c r="U48">
        <f t="shared" si="49"/>
        <v>1.0999999999999999E-2</v>
      </c>
      <c r="V48">
        <f t="shared" si="50"/>
        <v>0.6784</v>
      </c>
      <c r="X48">
        <f t="shared" ref="X48:X59" si="69">VLOOKUP(F48, $AM$37:$AN$55, 2, FALSE)</f>
        <v>0.77</v>
      </c>
      <c r="Y48">
        <f t="shared" ref="Y48:Y59" si="70">J48*K48*M48*X48*V48</f>
        <v>1.1473290751999861E-4</v>
      </c>
      <c r="Z48">
        <f t="shared" si="51"/>
        <v>4.7000000000000002E-3</v>
      </c>
      <c r="AA48">
        <f t="shared" ref="AA48:AA59" si="71">J48*K48*N48*Z48*V48</f>
        <v>2.0527549025280004E-4</v>
      </c>
      <c r="AB48">
        <f t="shared" ref="AB48:AB59" si="72">C48*Y48*365</f>
        <v>0.54440764618239346</v>
      </c>
      <c r="AC48">
        <f t="shared" ref="AC48:AC59" si="73">C48*AA48*365</f>
        <v>0.97403220124953627</v>
      </c>
      <c r="AD48">
        <f t="shared" ref="AD48:AD59" si="74">(AB48+AC48)*10^-3</f>
        <v>1.5184398474319299E-3</v>
      </c>
      <c r="AM48">
        <v>21</v>
      </c>
      <c r="AN48">
        <v>0.78</v>
      </c>
    </row>
    <row r="49" spans="1:40" ht="17">
      <c r="A49" s="3" t="s">
        <v>23</v>
      </c>
      <c r="B49" s="2" t="s">
        <v>11</v>
      </c>
      <c r="C49">
        <v>14</v>
      </c>
      <c r="D49" t="s">
        <v>56</v>
      </c>
      <c r="E49" s="2" t="s">
        <v>75</v>
      </c>
      <c r="F49">
        <v>19</v>
      </c>
      <c r="I49" s="2" t="s">
        <v>66</v>
      </c>
      <c r="J49">
        <f t="shared" si="64"/>
        <v>0.34</v>
      </c>
      <c r="K49">
        <f t="shared" si="46"/>
        <v>0.19</v>
      </c>
      <c r="L49" t="s">
        <v>56</v>
      </c>
      <c r="M49">
        <f t="shared" si="65"/>
        <v>3.3999999999999586E-3</v>
      </c>
      <c r="N49">
        <f t="shared" si="52"/>
        <v>0.99660000000000004</v>
      </c>
      <c r="O49">
        <f t="shared" si="47"/>
        <v>1.57</v>
      </c>
      <c r="P49">
        <f t="shared" si="66"/>
        <v>7</v>
      </c>
      <c r="Q49">
        <f t="shared" si="67"/>
        <v>2.8999999999999998E-3</v>
      </c>
      <c r="R49">
        <f t="shared" si="68"/>
        <v>0</v>
      </c>
      <c r="T49">
        <f t="shared" si="48"/>
        <v>0.24</v>
      </c>
      <c r="U49">
        <f t="shared" si="49"/>
        <v>1.0999999999999999E-2</v>
      </c>
      <c r="V49">
        <f t="shared" si="50"/>
        <v>0.6784</v>
      </c>
      <c r="X49">
        <f t="shared" si="69"/>
        <v>0.77</v>
      </c>
      <c r="Y49">
        <f t="shared" si="70"/>
        <v>1.1473290751999861E-4</v>
      </c>
      <c r="Z49">
        <f t="shared" si="51"/>
        <v>4.7000000000000002E-3</v>
      </c>
      <c r="AA49">
        <f t="shared" si="71"/>
        <v>2.0527549025280004E-4</v>
      </c>
      <c r="AB49">
        <f t="shared" si="72"/>
        <v>0.58628515742719289</v>
      </c>
      <c r="AC49">
        <f t="shared" si="73"/>
        <v>1.0489577551918081</v>
      </c>
      <c r="AD49">
        <f t="shared" si="74"/>
        <v>1.6352429126190011E-3</v>
      </c>
      <c r="AM49">
        <v>22</v>
      </c>
      <c r="AN49">
        <v>0.78</v>
      </c>
    </row>
    <row r="50" spans="1:40" ht="17">
      <c r="A50" s="3" t="s">
        <v>23</v>
      </c>
      <c r="B50" s="2" t="s">
        <v>12</v>
      </c>
      <c r="C50">
        <v>15</v>
      </c>
      <c r="D50" t="s">
        <v>55</v>
      </c>
      <c r="E50" s="2" t="s">
        <v>76</v>
      </c>
      <c r="F50">
        <v>20</v>
      </c>
      <c r="I50" s="2" t="s">
        <v>67</v>
      </c>
      <c r="J50">
        <f t="shared" si="64"/>
        <v>0.34</v>
      </c>
      <c r="K50">
        <f t="shared" si="46"/>
        <v>0.19</v>
      </c>
      <c r="L50" t="s">
        <v>55</v>
      </c>
      <c r="M50">
        <f t="shared" si="65"/>
        <v>0</v>
      </c>
      <c r="N50">
        <f t="shared" si="52"/>
        <v>1</v>
      </c>
      <c r="O50">
        <f t="shared" si="47"/>
        <v>1.57</v>
      </c>
      <c r="P50">
        <f t="shared" si="66"/>
        <v>7</v>
      </c>
      <c r="Q50">
        <f t="shared" si="67"/>
        <v>8.0000000000000002E-3</v>
      </c>
      <c r="R50">
        <f t="shared" si="68"/>
        <v>1</v>
      </c>
      <c r="T50">
        <f t="shared" si="48"/>
        <v>0.24</v>
      </c>
      <c r="U50">
        <f t="shared" si="49"/>
        <v>1.0999999999999999E-2</v>
      </c>
      <c r="V50">
        <f t="shared" si="50"/>
        <v>0.6784</v>
      </c>
      <c r="X50">
        <f t="shared" si="69"/>
        <v>0.78</v>
      </c>
      <c r="Y50">
        <f t="shared" si="70"/>
        <v>0</v>
      </c>
      <c r="Z50">
        <f t="shared" si="51"/>
        <v>4.7000000000000002E-3</v>
      </c>
      <c r="AA50">
        <f t="shared" si="71"/>
        <v>2.0597580800000003E-4</v>
      </c>
      <c r="AB50">
        <f t="shared" si="72"/>
        <v>0</v>
      </c>
      <c r="AC50">
        <f t="shared" si="73"/>
        <v>1.1277175488000002</v>
      </c>
      <c r="AD50">
        <f t="shared" si="74"/>
        <v>1.1277175488000003E-3</v>
      </c>
      <c r="AM50">
        <v>23</v>
      </c>
      <c r="AN50">
        <v>0.79</v>
      </c>
    </row>
    <row r="51" spans="1:40" ht="17">
      <c r="A51" s="3" t="s">
        <v>22</v>
      </c>
      <c r="B51" s="2" t="s">
        <v>13</v>
      </c>
      <c r="C51">
        <v>16</v>
      </c>
      <c r="D51" t="s">
        <v>56</v>
      </c>
      <c r="E51" s="2" t="s">
        <v>73</v>
      </c>
      <c r="F51">
        <v>21</v>
      </c>
      <c r="I51" s="2" t="s">
        <v>68</v>
      </c>
      <c r="J51">
        <f t="shared" si="64"/>
        <v>0.91</v>
      </c>
      <c r="K51">
        <f t="shared" si="46"/>
        <v>0.19</v>
      </c>
      <c r="L51" t="s">
        <v>55</v>
      </c>
      <c r="M51">
        <f t="shared" si="65"/>
        <v>0</v>
      </c>
      <c r="N51">
        <f t="shared" si="52"/>
        <v>1</v>
      </c>
      <c r="O51">
        <f t="shared" si="47"/>
        <v>1.57</v>
      </c>
      <c r="P51">
        <f t="shared" si="66"/>
        <v>13.2</v>
      </c>
      <c r="Q51">
        <f t="shared" si="67"/>
        <v>5.8999999999999999E-3</v>
      </c>
      <c r="R51">
        <f t="shared" si="68"/>
        <v>0</v>
      </c>
      <c r="T51">
        <f t="shared" si="48"/>
        <v>0.24</v>
      </c>
      <c r="U51">
        <f t="shared" si="49"/>
        <v>1.0999999999999999E-2</v>
      </c>
      <c r="V51">
        <f t="shared" si="50"/>
        <v>0.6784</v>
      </c>
      <c r="X51">
        <f t="shared" si="69"/>
        <v>0.78</v>
      </c>
      <c r="Y51">
        <f t="shared" si="70"/>
        <v>0</v>
      </c>
      <c r="Z51">
        <f t="shared" si="51"/>
        <v>4.7000000000000002E-3</v>
      </c>
      <c r="AA51">
        <f t="shared" si="71"/>
        <v>5.5128819200000003E-4</v>
      </c>
      <c r="AB51">
        <f t="shared" si="72"/>
        <v>0</v>
      </c>
      <c r="AC51">
        <f t="shared" si="73"/>
        <v>3.21952304128</v>
      </c>
      <c r="AD51">
        <f t="shared" si="74"/>
        <v>3.21952304128E-3</v>
      </c>
      <c r="AM51">
        <v>24</v>
      </c>
      <c r="AN51">
        <v>0.79</v>
      </c>
    </row>
    <row r="52" spans="1:40" ht="17">
      <c r="A52" s="3" t="s">
        <v>22</v>
      </c>
      <c r="B52" s="2" t="s">
        <v>14</v>
      </c>
      <c r="C52">
        <v>17</v>
      </c>
      <c r="D52" t="s">
        <v>55</v>
      </c>
      <c r="E52" s="2" t="s">
        <v>72</v>
      </c>
      <c r="F52">
        <v>22</v>
      </c>
      <c r="I52" s="2" t="s">
        <v>69</v>
      </c>
      <c r="J52">
        <f t="shared" si="64"/>
        <v>0.91</v>
      </c>
      <c r="K52">
        <f t="shared" si="46"/>
        <v>0.19</v>
      </c>
      <c r="L52" t="s">
        <v>55</v>
      </c>
      <c r="M52">
        <f t="shared" si="65"/>
        <v>0</v>
      </c>
      <c r="N52">
        <f t="shared" si="52"/>
        <v>1</v>
      </c>
      <c r="O52">
        <f t="shared" si="47"/>
        <v>1.57</v>
      </c>
      <c r="P52">
        <f t="shared" si="66"/>
        <v>13.2</v>
      </c>
      <c r="Q52">
        <f t="shared" si="67"/>
        <v>7.0000000000000001E-3</v>
      </c>
      <c r="R52">
        <f t="shared" si="68"/>
        <v>1</v>
      </c>
      <c r="T52">
        <f t="shared" si="48"/>
        <v>0.24</v>
      </c>
      <c r="U52">
        <f t="shared" si="49"/>
        <v>1.0999999999999999E-2</v>
      </c>
      <c r="V52">
        <f t="shared" si="50"/>
        <v>0.6784</v>
      </c>
      <c r="X52">
        <f t="shared" si="69"/>
        <v>0.78</v>
      </c>
      <c r="Y52">
        <f t="shared" si="70"/>
        <v>0</v>
      </c>
      <c r="Z52">
        <f t="shared" si="51"/>
        <v>4.7000000000000002E-3</v>
      </c>
      <c r="AA52">
        <f t="shared" si="71"/>
        <v>5.5128819200000003E-4</v>
      </c>
      <c r="AB52">
        <f t="shared" si="72"/>
        <v>0</v>
      </c>
      <c r="AC52">
        <f t="shared" si="73"/>
        <v>3.4207432313599999</v>
      </c>
      <c r="AD52">
        <f t="shared" si="74"/>
        <v>3.4207432313600001E-3</v>
      </c>
      <c r="AM52">
        <v>25</v>
      </c>
      <c r="AN52">
        <v>0.79</v>
      </c>
    </row>
    <row r="53" spans="1:40" ht="17">
      <c r="A53" s="3" t="s">
        <v>22</v>
      </c>
      <c r="B53" s="2" t="s">
        <v>15</v>
      </c>
      <c r="C53">
        <v>18</v>
      </c>
      <c r="D53" t="s">
        <v>56</v>
      </c>
      <c r="E53" s="2" t="s">
        <v>74</v>
      </c>
      <c r="F53">
        <v>23</v>
      </c>
      <c r="I53" s="2" t="s">
        <v>26</v>
      </c>
      <c r="J53">
        <f t="shared" si="64"/>
        <v>0.91</v>
      </c>
      <c r="K53">
        <f t="shared" si="46"/>
        <v>0.19</v>
      </c>
      <c r="L53" t="s">
        <v>55</v>
      </c>
      <c r="M53">
        <f t="shared" si="65"/>
        <v>0</v>
      </c>
      <c r="N53">
        <f t="shared" si="52"/>
        <v>1</v>
      </c>
      <c r="O53">
        <f t="shared" si="47"/>
        <v>1.57</v>
      </c>
      <c r="P53">
        <f t="shared" si="66"/>
        <v>13.2</v>
      </c>
      <c r="Q53">
        <f t="shared" si="67"/>
        <v>1.8E-3</v>
      </c>
      <c r="R53">
        <f t="shared" si="68"/>
        <v>0</v>
      </c>
      <c r="T53">
        <f t="shared" si="48"/>
        <v>0.24</v>
      </c>
      <c r="U53">
        <f t="shared" si="49"/>
        <v>1.0999999999999999E-2</v>
      </c>
      <c r="V53">
        <f t="shared" si="50"/>
        <v>0.6784</v>
      </c>
      <c r="X53">
        <f t="shared" si="69"/>
        <v>0.79</v>
      </c>
      <c r="Y53">
        <f t="shared" si="70"/>
        <v>0</v>
      </c>
      <c r="Z53">
        <f t="shared" si="51"/>
        <v>4.7000000000000002E-3</v>
      </c>
      <c r="AA53">
        <f t="shared" si="71"/>
        <v>5.5128819200000003E-4</v>
      </c>
      <c r="AB53">
        <f t="shared" si="72"/>
        <v>0</v>
      </c>
      <c r="AC53">
        <f t="shared" si="73"/>
        <v>3.6219634214399998</v>
      </c>
      <c r="AD53">
        <f t="shared" si="74"/>
        <v>3.6219634214399998E-3</v>
      </c>
      <c r="AM53">
        <v>26</v>
      </c>
      <c r="AN53">
        <v>0.79</v>
      </c>
    </row>
    <row r="54" spans="1:40" ht="17">
      <c r="A54" s="3" t="s">
        <v>22</v>
      </c>
      <c r="B54" s="2" t="s">
        <v>16</v>
      </c>
      <c r="C54">
        <v>19</v>
      </c>
      <c r="D54" t="s">
        <v>55</v>
      </c>
      <c r="E54" s="2" t="s">
        <v>75</v>
      </c>
      <c r="F54">
        <v>24</v>
      </c>
      <c r="I54" s="2" t="s">
        <v>63</v>
      </c>
      <c r="J54">
        <f t="shared" si="64"/>
        <v>0.91</v>
      </c>
      <c r="K54">
        <f t="shared" si="46"/>
        <v>0.19</v>
      </c>
      <c r="L54" t="s">
        <v>55</v>
      </c>
      <c r="M54">
        <f t="shared" si="65"/>
        <v>0</v>
      </c>
      <c r="N54">
        <f t="shared" si="52"/>
        <v>1</v>
      </c>
      <c r="O54">
        <f t="shared" si="47"/>
        <v>1.57</v>
      </c>
      <c r="P54">
        <f t="shared" si="66"/>
        <v>13.2</v>
      </c>
      <c r="Q54">
        <f t="shared" si="67"/>
        <v>2.8999999999999998E-3</v>
      </c>
      <c r="R54">
        <f t="shared" si="68"/>
        <v>1</v>
      </c>
      <c r="T54">
        <f t="shared" si="48"/>
        <v>0.24</v>
      </c>
      <c r="U54">
        <f t="shared" si="49"/>
        <v>1.0999999999999999E-2</v>
      </c>
      <c r="V54">
        <f t="shared" si="50"/>
        <v>0.6784</v>
      </c>
      <c r="X54">
        <f t="shared" si="69"/>
        <v>0.79</v>
      </c>
      <c r="Y54">
        <f t="shared" si="70"/>
        <v>0</v>
      </c>
      <c r="Z54">
        <f t="shared" si="51"/>
        <v>4.7000000000000002E-3</v>
      </c>
      <c r="AA54">
        <f t="shared" si="71"/>
        <v>5.5128819200000003E-4</v>
      </c>
      <c r="AB54">
        <f t="shared" si="72"/>
        <v>0</v>
      </c>
      <c r="AC54">
        <f t="shared" si="73"/>
        <v>3.8231836115200006</v>
      </c>
      <c r="AD54">
        <f t="shared" si="74"/>
        <v>3.8231836115200008E-3</v>
      </c>
      <c r="AM54">
        <v>27</v>
      </c>
      <c r="AN54">
        <v>0.8</v>
      </c>
    </row>
    <row r="55" spans="1:40">
      <c r="A55" s="2" t="s">
        <v>17</v>
      </c>
      <c r="B55" s="2" t="s">
        <v>17</v>
      </c>
      <c r="C55">
        <v>20</v>
      </c>
      <c r="D55" t="s">
        <v>56</v>
      </c>
      <c r="E55" s="2" t="s">
        <v>73</v>
      </c>
      <c r="F55">
        <v>25</v>
      </c>
      <c r="I55" s="2" t="s">
        <v>64</v>
      </c>
      <c r="J55">
        <f t="shared" si="64"/>
        <v>2.73</v>
      </c>
      <c r="K55">
        <f t="shared" si="46"/>
        <v>0.19</v>
      </c>
      <c r="L55" t="s">
        <v>55</v>
      </c>
      <c r="M55">
        <f t="shared" si="65"/>
        <v>0</v>
      </c>
      <c r="N55">
        <f t="shared" si="52"/>
        <v>1</v>
      </c>
      <c r="O55">
        <f t="shared" si="47"/>
        <v>1.57</v>
      </c>
      <c r="P55">
        <f t="shared" si="66"/>
        <v>39.5</v>
      </c>
      <c r="Q55">
        <f t="shared" si="67"/>
        <v>5.8999999999999999E-3</v>
      </c>
      <c r="R55">
        <f t="shared" si="68"/>
        <v>0</v>
      </c>
      <c r="T55">
        <f t="shared" si="48"/>
        <v>0.24</v>
      </c>
      <c r="U55">
        <f t="shared" si="49"/>
        <v>1.0999999999999999E-2</v>
      </c>
      <c r="V55">
        <f t="shared" si="50"/>
        <v>0.6784</v>
      </c>
      <c r="X55">
        <f t="shared" si="69"/>
        <v>0.79</v>
      </c>
      <c r="Y55">
        <f t="shared" si="70"/>
        <v>0</v>
      </c>
      <c r="Z55">
        <f t="shared" si="51"/>
        <v>4.7000000000000002E-3</v>
      </c>
      <c r="AA55">
        <f t="shared" si="71"/>
        <v>1.6538645760000002E-3</v>
      </c>
      <c r="AB55">
        <f t="shared" si="72"/>
        <v>0</v>
      </c>
      <c r="AC55">
        <f t="shared" si="73"/>
        <v>12.0732114048</v>
      </c>
      <c r="AD55">
        <f t="shared" si="74"/>
        <v>1.2073211404800001E-2</v>
      </c>
      <c r="AM55" t="s">
        <v>91</v>
      </c>
      <c r="AN55">
        <v>0.8</v>
      </c>
    </row>
    <row r="56" spans="1:40">
      <c r="A56" s="2" t="s">
        <v>18</v>
      </c>
      <c r="B56" s="2" t="s">
        <v>18</v>
      </c>
      <c r="C56">
        <v>21</v>
      </c>
      <c r="D56" t="s">
        <v>55</v>
      </c>
      <c r="E56" s="2" t="s">
        <v>72</v>
      </c>
      <c r="F56">
        <v>26</v>
      </c>
      <c r="I56" s="2" t="s">
        <v>65</v>
      </c>
      <c r="J56">
        <f t="shared" si="64"/>
        <v>0.34</v>
      </c>
      <c r="K56">
        <f t="shared" si="46"/>
        <v>0.19</v>
      </c>
      <c r="L56" t="s">
        <v>55</v>
      </c>
      <c r="M56">
        <f t="shared" si="65"/>
        <v>0</v>
      </c>
      <c r="N56">
        <f t="shared" si="52"/>
        <v>1</v>
      </c>
      <c r="O56">
        <f t="shared" si="47"/>
        <v>1.57</v>
      </c>
      <c r="P56">
        <f t="shared" si="66"/>
        <v>7</v>
      </c>
      <c r="Q56">
        <f t="shared" si="67"/>
        <v>7.0000000000000001E-3</v>
      </c>
      <c r="R56">
        <f t="shared" si="68"/>
        <v>1</v>
      </c>
      <c r="T56">
        <f t="shared" si="48"/>
        <v>0.24</v>
      </c>
      <c r="U56">
        <f t="shared" si="49"/>
        <v>1.0999999999999999E-2</v>
      </c>
      <c r="V56">
        <f t="shared" si="50"/>
        <v>0.6784</v>
      </c>
      <c r="X56">
        <f t="shared" si="69"/>
        <v>0.79</v>
      </c>
      <c r="Y56">
        <f t="shared" si="70"/>
        <v>0</v>
      </c>
      <c r="Z56">
        <f t="shared" si="51"/>
        <v>4.7000000000000002E-3</v>
      </c>
      <c r="AA56">
        <f t="shared" si="71"/>
        <v>2.0597580800000003E-4</v>
      </c>
      <c r="AB56">
        <f t="shared" si="72"/>
        <v>0</v>
      </c>
      <c r="AC56">
        <f t="shared" si="73"/>
        <v>1.57880456832</v>
      </c>
      <c r="AD56">
        <f t="shared" si="74"/>
        <v>1.5788045683200001E-3</v>
      </c>
    </row>
    <row r="57" spans="1:40">
      <c r="A57" s="2" t="s">
        <v>19</v>
      </c>
      <c r="B57" s="2" t="s">
        <v>19</v>
      </c>
      <c r="C57">
        <v>22</v>
      </c>
      <c r="D57" t="s">
        <v>56</v>
      </c>
      <c r="E57" s="2" t="s">
        <v>74</v>
      </c>
      <c r="F57">
        <v>27</v>
      </c>
      <c r="I57" s="2" t="s">
        <v>66</v>
      </c>
      <c r="J57">
        <f t="shared" si="64"/>
        <v>2.73</v>
      </c>
      <c r="K57">
        <f t="shared" si="46"/>
        <v>0.19</v>
      </c>
      <c r="L57" t="s">
        <v>55</v>
      </c>
      <c r="M57">
        <f t="shared" si="65"/>
        <v>0</v>
      </c>
      <c r="N57">
        <f t="shared" si="52"/>
        <v>1</v>
      </c>
      <c r="O57">
        <f t="shared" si="47"/>
        <v>1.57</v>
      </c>
      <c r="P57">
        <f t="shared" si="66"/>
        <v>39.5</v>
      </c>
      <c r="Q57">
        <f t="shared" si="67"/>
        <v>1.8E-3</v>
      </c>
      <c r="R57">
        <f t="shared" si="68"/>
        <v>0</v>
      </c>
      <c r="T57">
        <f t="shared" si="48"/>
        <v>0.24</v>
      </c>
      <c r="U57">
        <f t="shared" si="49"/>
        <v>1.0999999999999999E-2</v>
      </c>
      <c r="V57">
        <f t="shared" si="50"/>
        <v>0.6784</v>
      </c>
      <c r="X57">
        <f t="shared" si="69"/>
        <v>0.8</v>
      </c>
      <c r="Y57">
        <f t="shared" si="70"/>
        <v>0</v>
      </c>
      <c r="Z57">
        <f t="shared" si="51"/>
        <v>4.7000000000000002E-3</v>
      </c>
      <c r="AA57">
        <f t="shared" si="71"/>
        <v>1.6538645760000002E-3</v>
      </c>
      <c r="AB57">
        <f t="shared" si="72"/>
        <v>0</v>
      </c>
      <c r="AC57">
        <f t="shared" si="73"/>
        <v>13.28053254528</v>
      </c>
      <c r="AD57">
        <f t="shared" si="74"/>
        <v>1.3280532545279999E-2</v>
      </c>
    </row>
    <row r="58" spans="1:40">
      <c r="A58" s="2" t="s">
        <v>20</v>
      </c>
      <c r="B58" s="2" t="s">
        <v>20</v>
      </c>
      <c r="C58">
        <v>23</v>
      </c>
      <c r="D58" t="s">
        <v>55</v>
      </c>
      <c r="E58" s="2" t="s">
        <v>75</v>
      </c>
      <c r="F58" t="s">
        <v>91</v>
      </c>
      <c r="I58" s="2" t="s">
        <v>67</v>
      </c>
      <c r="J58">
        <f t="shared" si="64"/>
        <v>0.91</v>
      </c>
      <c r="K58">
        <f t="shared" si="46"/>
        <v>0.19</v>
      </c>
      <c r="L58" t="s">
        <v>55</v>
      </c>
      <c r="M58">
        <f t="shared" si="65"/>
        <v>0</v>
      </c>
      <c r="N58">
        <f t="shared" si="52"/>
        <v>1</v>
      </c>
      <c r="O58">
        <f t="shared" si="47"/>
        <v>1.57</v>
      </c>
      <c r="P58">
        <f t="shared" si="66"/>
        <v>13.2</v>
      </c>
      <c r="Q58">
        <f t="shared" si="67"/>
        <v>2.8999999999999998E-3</v>
      </c>
      <c r="R58">
        <f t="shared" si="68"/>
        <v>1</v>
      </c>
      <c r="T58">
        <f t="shared" si="48"/>
        <v>0.24</v>
      </c>
      <c r="U58">
        <f t="shared" si="49"/>
        <v>1.0999999999999999E-2</v>
      </c>
      <c r="V58">
        <f t="shared" si="50"/>
        <v>0.6784</v>
      </c>
      <c r="X58">
        <f t="shared" si="69"/>
        <v>0.8</v>
      </c>
      <c r="Y58">
        <f t="shared" si="70"/>
        <v>0</v>
      </c>
      <c r="Z58">
        <f t="shared" si="51"/>
        <v>4.7000000000000002E-3</v>
      </c>
      <c r="AA58">
        <f t="shared" si="71"/>
        <v>5.5128819200000003E-4</v>
      </c>
      <c r="AB58">
        <f t="shared" si="72"/>
        <v>0</v>
      </c>
      <c r="AC58">
        <f t="shared" si="73"/>
        <v>4.6280643718399999</v>
      </c>
      <c r="AD58">
        <f t="shared" si="74"/>
        <v>4.6280643718400001E-3</v>
      </c>
    </row>
    <row r="59" spans="1:40">
      <c r="A59" s="2" t="s">
        <v>62</v>
      </c>
      <c r="B59" s="2" t="s">
        <v>21</v>
      </c>
      <c r="C59">
        <v>24</v>
      </c>
      <c r="D59" t="s">
        <v>56</v>
      </c>
      <c r="E59" s="2" t="s">
        <v>76</v>
      </c>
      <c r="F59">
        <v>20</v>
      </c>
      <c r="I59" s="2" t="s">
        <v>68</v>
      </c>
      <c r="J59">
        <f t="shared" si="64"/>
        <v>0.34</v>
      </c>
      <c r="K59">
        <f t="shared" si="46"/>
        <v>0.19</v>
      </c>
      <c r="L59" t="s">
        <v>55</v>
      </c>
      <c r="M59">
        <f t="shared" si="65"/>
        <v>0</v>
      </c>
      <c r="N59">
        <f t="shared" si="52"/>
        <v>1</v>
      </c>
      <c r="O59">
        <f t="shared" si="47"/>
        <v>1.57</v>
      </c>
      <c r="P59">
        <f t="shared" si="66"/>
        <v>7</v>
      </c>
      <c r="Q59">
        <f t="shared" si="67"/>
        <v>8.0000000000000002E-3</v>
      </c>
      <c r="R59">
        <f t="shared" si="68"/>
        <v>0</v>
      </c>
      <c r="T59">
        <f t="shared" si="48"/>
        <v>0.24</v>
      </c>
      <c r="U59">
        <f t="shared" si="49"/>
        <v>1.0999999999999999E-2</v>
      </c>
      <c r="V59">
        <f t="shared" si="50"/>
        <v>0.6784</v>
      </c>
      <c r="X59">
        <f t="shared" si="69"/>
        <v>0.78</v>
      </c>
      <c r="Y59">
        <f t="shared" si="70"/>
        <v>0</v>
      </c>
      <c r="Z59">
        <f t="shared" si="51"/>
        <v>4.7000000000000002E-3</v>
      </c>
      <c r="AA59">
        <f t="shared" si="71"/>
        <v>2.0597580800000003E-4</v>
      </c>
      <c r="AB59">
        <f t="shared" si="72"/>
        <v>0</v>
      </c>
      <c r="AC59">
        <f t="shared" si="73"/>
        <v>1.8043480780800005</v>
      </c>
      <c r="AD59">
        <f t="shared" si="74"/>
        <v>1.8043480780800005E-3</v>
      </c>
    </row>
    <row r="61" spans="1:40">
      <c r="E61" s="2"/>
    </row>
    <row r="62" spans="1:40">
      <c r="E62" s="2"/>
    </row>
    <row r="63" spans="1:40">
      <c r="E63" s="2"/>
    </row>
    <row r="64" spans="1:40">
      <c r="E64" s="2"/>
    </row>
  </sheetData>
  <mergeCells count="1">
    <mergeCell ref="AQ18:AQ1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4.7.1.1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2026-10-22T06:06:48Z</dcterms:modified>
</cp:coreProperties>
</file>