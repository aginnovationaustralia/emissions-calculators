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E4A630E3-CC00-1248-BDAE-262A25DF97E8}" xr6:coauthVersionLast="47" xr6:coauthVersionMax="47" xr10:uidLastSave="{00000000-0000-0000-0000-000000000000}"/>
  <bookViews>
    <workbookView xWindow="51480" yWindow="13560" windowWidth="28800" windowHeight="22980" xr2:uid="{00000000-000D-0000-FFFF-FFFF00000000}"/>
  </bookViews>
  <sheets>
    <sheet name="3.3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" l="1"/>
  <c r="P12" i="1"/>
  <c r="P13" i="1"/>
  <c r="P14" i="1"/>
  <c r="P16" i="1"/>
  <c r="P17" i="1"/>
  <c r="P11" i="1"/>
  <c r="Z17" i="1"/>
  <c r="R14" i="1"/>
  <c r="R15" i="1"/>
  <c r="R16" i="1"/>
  <c r="Q13" i="1"/>
  <c r="R13" i="1" s="1"/>
  <c r="Q16" i="1"/>
  <c r="S11" i="1"/>
  <c r="J17" i="1"/>
  <c r="J14" i="1"/>
  <c r="H17" i="1"/>
  <c r="H14" i="1"/>
  <c r="G17" i="1"/>
  <c r="N17" i="1" s="1"/>
  <c r="O17" i="1" s="1"/>
  <c r="G14" i="1"/>
  <c r="N14" i="1" s="1"/>
  <c r="O14" i="1" s="1"/>
  <c r="W65" i="1"/>
  <c r="W66" i="1"/>
  <c r="W64" i="1"/>
  <c r="W11" i="1"/>
  <c r="X11" i="1" s="1"/>
  <c r="Y11" i="1"/>
  <c r="V11" i="1"/>
  <c r="U11" i="1"/>
  <c r="T11" i="1"/>
  <c r="J13" i="1"/>
  <c r="J15" i="1"/>
  <c r="J16" i="1"/>
  <c r="J12" i="1"/>
  <c r="J11" i="1"/>
  <c r="H16" i="1"/>
  <c r="H15" i="1"/>
  <c r="H13" i="1"/>
  <c r="H12" i="1"/>
  <c r="H11" i="1"/>
  <c r="G16" i="1"/>
  <c r="G15" i="1"/>
  <c r="G13" i="1"/>
  <c r="G12" i="1"/>
  <c r="G11" i="1"/>
  <c r="Z14" i="1" l="1"/>
  <c r="M11" i="1"/>
  <c r="N12" i="1"/>
  <c r="O12" i="1" s="1"/>
  <c r="Z12" i="1" s="1"/>
  <c r="N13" i="1"/>
  <c r="O13" i="1" s="1"/>
  <c r="Z13" i="1" s="1"/>
  <c r="O15" i="1"/>
  <c r="W67" i="1"/>
  <c r="N16" i="1"/>
  <c r="O16" i="1" s="1"/>
  <c r="Z16" i="1" s="1"/>
  <c r="P15" i="1" l="1"/>
  <c r="Z15" i="1" s="1"/>
  <c r="N11" i="1"/>
  <c r="O11" i="1" s="1"/>
  <c r="Z11" i="1" l="1"/>
  <c r="AA11" i="1" s="1"/>
</calcChain>
</file>

<file path=xl/sharedStrings.xml><?xml version="1.0" encoding="utf-8"?>
<sst xmlns="http://schemas.openxmlformats.org/spreadsheetml/2006/main" count="129" uniqueCount="92">
  <si>
    <t>0.795 * DMDj- 0.0014</t>
  </si>
  <si>
    <t>MSj / (0.01 * (FCj + PCj))</t>
  </si>
  <si>
    <t>(MPj * 1.03 * NE) / (GEC * k * qmj)</t>
  </si>
  <si>
    <t>(1.185 + 0.00454 * Wj- 0.0000026 * Wj^2 + 0.315 * LWGj)^2 * MRj + MIj</t>
  </si>
  <si>
    <t>20.7 * Ij * 10^-3</t>
  </si>
  <si>
    <t>SUM (( Nj=1,2,4 * Mj=1,2,4 * Dj=1,2,4) + (Nj=3,5 * Mj=3,5 * Dj=3,5)+ (Nj=3,5 * MPWenteric,j=3,5 * Dj=3,5)) * 10^-3</t>
  </si>
  <si>
    <t>242</t>
  </si>
  <si>
    <t>204</t>
  </si>
  <si>
    <t>259</t>
  </si>
  <si>
    <t>253</t>
  </si>
  <si>
    <t>245</t>
  </si>
  <si>
    <t>255</t>
  </si>
  <si>
    <t>192</t>
  </si>
  <si>
    <t>input</t>
  </si>
  <si>
    <t>expression</t>
  </si>
  <si>
    <t>constant</t>
  </si>
  <si>
    <t>MSj</t>
  </si>
  <si>
    <t>Wj</t>
  </si>
  <si>
    <t>LWGj</t>
  </si>
  <si>
    <t>MRj</t>
  </si>
  <si>
    <t>DMDj</t>
  </si>
  <si>
    <t>qmj</t>
  </si>
  <si>
    <t>k</t>
  </si>
  <si>
    <t>GEC</t>
  </si>
  <si>
    <t>NE</t>
  </si>
  <si>
    <t>FCj</t>
  </si>
  <si>
    <t>PCj</t>
  </si>
  <si>
    <t>MPj</t>
  </si>
  <si>
    <t>MIj</t>
  </si>
  <si>
    <t>Ij</t>
  </si>
  <si>
    <t>Mj</t>
  </si>
  <si>
    <t>MPWenteric,j=3,5</t>
  </si>
  <si>
    <t>Eenteric</t>
  </si>
  <si>
    <t>Scenario</t>
  </si>
  <si>
    <t>Class</t>
  </si>
  <si>
    <t>Milking cows</t>
  </si>
  <si>
    <t>Heifers &gt; 1 year</t>
  </si>
  <si>
    <t>Heifers &lt; 1 year</t>
  </si>
  <si>
    <t>Bulls &gt; 1 year</t>
  </si>
  <si>
    <t>Bulls &lt; 1 year</t>
  </si>
  <si>
    <t>Nj</t>
  </si>
  <si>
    <t>Liveweight of each class of stock.</t>
  </si>
  <si>
    <t>Bulls</t>
  </si>
  <si>
    <t>Bulls &gt; 1</t>
  </si>
  <si>
    <t>Bulls &lt; 1 (weaned)</t>
  </si>
  <si>
    <t>Table A.1.3.2</t>
  </si>
  <si>
    <t>Table A.1.3.1</t>
  </si>
  <si>
    <t>Breed</t>
  </si>
  <si>
    <t>Heifers &gt; 1</t>
  </si>
  <si>
    <t>Heifers &lt; 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</si>
  <si>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</si>
  <si>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</si>
  <si>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</si>
  <si>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</si>
  <si>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</si>
  <si>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</si>
  <si>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</si>
  <si>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</si>
  <si>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</si>
  <si>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</si>
  <si>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Milking Cows </t>
  </si>
  <si>
    <t>Heifers &gt;1</t>
  </si>
  <si>
    <t>Bulls &gt;1</t>
  </si>
  <si>
    <t>Heifers &lt;1 (weaned)</t>
  </si>
  <si>
    <t>LWG</t>
  </si>
  <si>
    <t>WR</t>
  </si>
  <si>
    <t>A.1.3.9</t>
  </si>
  <si>
    <t>Other cattle classes</t>
  </si>
  <si>
    <t>DMD</t>
  </si>
  <si>
    <t>N</t>
  </si>
  <si>
    <t>M</t>
  </si>
  <si>
    <t>D</t>
  </si>
  <si>
    <t>NMD</t>
  </si>
  <si>
    <t>N124</t>
  </si>
  <si>
    <t>M124</t>
  </si>
  <si>
    <t>N*M*D</t>
  </si>
  <si>
    <t>Dj</t>
  </si>
  <si>
    <t>Weaned</t>
  </si>
  <si>
    <t>Pre-weaned</t>
  </si>
  <si>
    <t>weaned</t>
  </si>
  <si>
    <t>L / head / day</t>
  </si>
  <si>
    <t>kg CH4 / head / day</t>
  </si>
  <si>
    <t>A.1.3.5</t>
  </si>
  <si>
    <t>Bulls &lt; 1</t>
  </si>
  <si>
    <t>0.2685 </t>
  </si>
  <si>
    <t>0.3003 </t>
  </si>
  <si>
    <t>CH4</t>
  </si>
  <si>
    <t>VS</t>
  </si>
  <si>
    <t>NPW</t>
  </si>
  <si>
    <t>N*MPW*D</t>
  </si>
  <si>
    <t>Eentericj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</si>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</sst>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/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J67"/>
  <sheetViews>
    <sheetView tabSelected="1" topLeftCell="L1" workbookViewId="0">
      <selection activeCell="Z16" sqref="Z16"/>
    </sheetView>
  </sheetViews>
  <sheetFormatPr baseColWidth="10" defaultRowHeight="16" x14ac:dyDescent="0.2"/>
  <cols>
    <col min="3" max="3" width="16.33203125" customWidth="1"/>
    <col min="4" max="4" width="13.1640625" customWidth="1"/>
    <col min="9" max="10" width="8.33203125" bestFit="1" customWidth="1"/>
    <col min="11" max="11" width="8.33203125" customWidth="1"/>
    <col min="19" max="20" width="8.33203125" customWidth="1"/>
    <col min="23" max="23" width="8.33203125" bestFit="1" customWidth="1"/>
    <col min="24" max="24" width="18.6640625" bestFit="1" customWidth="1"/>
    <col min="25" max="25" width="8.33203125" bestFit="1" customWidth="1"/>
    <col min="32" max="32" width="18.1640625" customWidth="1"/>
  </cols>
  <sheetData>
    <row r="2" spans="1:34" x14ac:dyDescent="0.2">
      <c r="L2" t="s">
        <v>80</v>
      </c>
      <c r="O2" t="s">
        <v>81</v>
      </c>
    </row>
    <row r="5" spans="1:34" x14ac:dyDescent="0.2">
      <c r="L5" t="s">
        <v>1</v>
      </c>
      <c r="M5" t="s">
        <v>2</v>
      </c>
      <c r="N5" t="s">
        <v>3</v>
      </c>
      <c r="O5" t="s">
        <v>4</v>
      </c>
      <c r="X5" t="s">
        <v>0</v>
      </c>
      <c r="AA5" t="s">
        <v>5</v>
      </c>
    </row>
    <row r="6" spans="1:34" x14ac:dyDescent="0.2">
      <c r="E6" t="s">
        <v>6</v>
      </c>
      <c r="F6">
        <v>246</v>
      </c>
      <c r="G6">
        <v>247</v>
      </c>
      <c r="H6">
        <v>248</v>
      </c>
      <c r="J6">
        <v>256</v>
      </c>
      <c r="K6" t="s">
        <v>8</v>
      </c>
      <c r="L6" t="s">
        <v>10</v>
      </c>
      <c r="M6">
        <v>216</v>
      </c>
      <c r="N6">
        <v>208</v>
      </c>
      <c r="O6" t="s">
        <v>7</v>
      </c>
      <c r="P6" t="s">
        <v>6</v>
      </c>
      <c r="Q6" t="s">
        <v>11</v>
      </c>
      <c r="S6">
        <v>251</v>
      </c>
      <c r="T6">
        <v>252</v>
      </c>
      <c r="U6">
        <v>259</v>
      </c>
      <c r="V6">
        <v>258</v>
      </c>
      <c r="W6">
        <v>250</v>
      </c>
      <c r="X6" t="s">
        <v>9</v>
      </c>
      <c r="Y6">
        <v>260</v>
      </c>
      <c r="AA6" t="s">
        <v>12</v>
      </c>
    </row>
    <row r="7" spans="1:34" x14ac:dyDescent="0.2">
      <c r="E7" t="s">
        <v>13</v>
      </c>
      <c r="F7" t="s">
        <v>15</v>
      </c>
      <c r="G7" t="s">
        <v>15</v>
      </c>
      <c r="H7" t="s">
        <v>15</v>
      </c>
      <c r="J7" t="s">
        <v>15</v>
      </c>
      <c r="K7" t="s">
        <v>13</v>
      </c>
      <c r="L7" t="s">
        <v>14</v>
      </c>
      <c r="M7" t="s">
        <v>14</v>
      </c>
      <c r="N7" t="s">
        <v>14</v>
      </c>
      <c r="O7" t="s">
        <v>14</v>
      </c>
      <c r="P7" t="s">
        <v>13</v>
      </c>
      <c r="Q7" t="s">
        <v>15</v>
      </c>
      <c r="S7" t="s">
        <v>15</v>
      </c>
      <c r="T7" t="s">
        <v>15</v>
      </c>
      <c r="U7" t="s">
        <v>15</v>
      </c>
      <c r="V7" t="s">
        <v>15</v>
      </c>
      <c r="W7" t="s">
        <v>15</v>
      </c>
      <c r="X7" t="s">
        <v>14</v>
      </c>
      <c r="Y7" t="s">
        <v>15</v>
      </c>
      <c r="AA7" t="s">
        <v>14</v>
      </c>
    </row>
    <row r="8" spans="1:34" x14ac:dyDescent="0.2">
      <c r="F8" t="s">
        <v>13</v>
      </c>
      <c r="S8" t="s">
        <v>13</v>
      </c>
      <c r="T8" t="s">
        <v>13</v>
      </c>
      <c r="W8" t="s">
        <v>13</v>
      </c>
      <c r="AF8">
        <v>250</v>
      </c>
      <c r="AG8" t="s">
        <v>68</v>
      </c>
      <c r="AH8">
        <v>0.75</v>
      </c>
    </row>
    <row r="9" spans="1:34" x14ac:dyDescent="0.2">
      <c r="G9" s="1" t="s">
        <v>41</v>
      </c>
      <c r="AF9">
        <v>260</v>
      </c>
      <c r="AG9" t="s">
        <v>22</v>
      </c>
      <c r="AH9">
        <v>0.6</v>
      </c>
    </row>
    <row r="10" spans="1:34" x14ac:dyDescent="0.2">
      <c r="A10" t="s">
        <v>33</v>
      </c>
      <c r="B10" t="s">
        <v>77</v>
      </c>
      <c r="C10" t="s">
        <v>47</v>
      </c>
      <c r="D10" t="s">
        <v>34</v>
      </c>
      <c r="E10" s="4" t="s">
        <v>40</v>
      </c>
      <c r="F10" t="s">
        <v>76</v>
      </c>
      <c r="G10" t="s">
        <v>17</v>
      </c>
      <c r="H10" t="s">
        <v>18</v>
      </c>
      <c r="J10" t="s">
        <v>19</v>
      </c>
      <c r="K10" t="s">
        <v>16</v>
      </c>
      <c r="L10" t="s">
        <v>27</v>
      </c>
      <c r="M10" t="s">
        <v>28</v>
      </c>
      <c r="N10" t="s">
        <v>29</v>
      </c>
      <c r="O10" t="s">
        <v>30</v>
      </c>
      <c r="P10" t="s">
        <v>75</v>
      </c>
      <c r="Q10" t="s">
        <v>31</v>
      </c>
      <c r="R10" t="s">
        <v>89</v>
      </c>
      <c r="S10" t="s">
        <v>25</v>
      </c>
      <c r="T10" t="s">
        <v>26</v>
      </c>
      <c r="U10" t="s">
        <v>23</v>
      </c>
      <c r="V10" t="s">
        <v>24</v>
      </c>
      <c r="W10" t="s">
        <v>20</v>
      </c>
      <c r="X10" t="s">
        <v>21</v>
      </c>
      <c r="Y10" t="s">
        <v>22</v>
      </c>
      <c r="Z10" t="s">
        <v>90</v>
      </c>
      <c r="AA10" s="5" t="s">
        <v>32</v>
      </c>
      <c r="AF10">
        <v>259</v>
      </c>
      <c r="AG10" t="s">
        <v>23</v>
      </c>
      <c r="AH10">
        <v>18.399999999999999</v>
      </c>
    </row>
    <row r="11" spans="1:34" x14ac:dyDescent="0.2">
      <c r="A11" t="s">
        <v>91</v>
      </c>
      <c r="C11" s="2" t="s">
        <v>50</v>
      </c>
      <c r="D11" t="s">
        <v>35</v>
      </c>
      <c r="E11">
        <v>50</v>
      </c>
      <c r="F11">
        <v>365</v>
      </c>
      <c r="G11">
        <f>VLOOKUP(C11,$AF$18:$AI$27, 2, FALSE)</f>
        <v>550</v>
      </c>
      <c r="H11">
        <f>$AG$36</f>
        <v>1.6E-2</v>
      </c>
      <c r="J11">
        <f>$AG$45</f>
        <v>1.1000000000000001</v>
      </c>
      <c r="L11">
        <v>15</v>
      </c>
      <c r="M11">
        <f>(L11 * 1.03 *V11) / (U11 * Y11 * X11)</f>
        <v>7.1849041227053947</v>
      </c>
      <c r="N11">
        <f>(1.185 + 0.00454 *G11- 0.0000026 *G11^2 + 0.315 *H11)^2 *J11 + M11</f>
        <v>16.439349643465398</v>
      </c>
      <c r="O11">
        <f>20.7 * N11 * 10^-3</f>
        <v>0.34029453761973372</v>
      </c>
      <c r="P11">
        <f>E11*O11*F11</f>
        <v>6210.3753115601403</v>
      </c>
      <c r="S11">
        <f>$AH$12</f>
        <v>4</v>
      </c>
      <c r="T11">
        <f>$AH$11</f>
        <v>3.3</v>
      </c>
      <c r="U11">
        <f>$AH$10</f>
        <v>18.399999999999999</v>
      </c>
      <c r="V11">
        <f>$AH$13</f>
        <v>3.0539999999999998</v>
      </c>
      <c r="W11">
        <f>$AH$8</f>
        <v>0.75</v>
      </c>
      <c r="X11">
        <f>0.795 * W11- 0.0014</f>
        <v>0.5948500000000001</v>
      </c>
      <c r="Y11">
        <f>$AH$9</f>
        <v>0.6</v>
      </c>
      <c r="Z11">
        <f>P11+R11</f>
        <v>6210.3753115601403</v>
      </c>
      <c r="AA11" s="6">
        <f>SUM(Z11:Z17)*10^-3</f>
        <v>11.576072084045697</v>
      </c>
      <c r="AG11" t="s">
        <v>26</v>
      </c>
      <c r="AH11">
        <v>3.3</v>
      </c>
    </row>
    <row r="12" spans="1:34" x14ac:dyDescent="0.2">
      <c r="A12">
        <v>2</v>
      </c>
      <c r="D12" t="s">
        <v>36</v>
      </c>
      <c r="E12">
        <v>20</v>
      </c>
      <c r="F12">
        <v>365</v>
      </c>
      <c r="G12">
        <f>VLOOKUP(C11,$AF$18:$AI$27, 3, FALSE)</f>
        <v>380</v>
      </c>
      <c r="H12">
        <f>$AG$37</f>
        <v>0.6</v>
      </c>
      <c r="J12">
        <f>$AG$46</f>
        <v>1</v>
      </c>
      <c r="L12">
        <v>0</v>
      </c>
      <c r="M12">
        <v>0</v>
      </c>
      <c r="N12">
        <f>(1.185 + 0.00454 *G12- 0.0000026 *G12^2 + 0.315 *H12)^2 *J12 + M12</f>
        <v>7.4188685375999972</v>
      </c>
      <c r="O12">
        <f t="shared" ref="O12:O17" si="0">20.7 * N12 * 10^-3</f>
        <v>0.15357057872831995</v>
      </c>
      <c r="P12">
        <f t="shared" ref="P12:P17" si="1">E12*O12*F12</f>
        <v>1121.0652247167357</v>
      </c>
      <c r="Z12">
        <f t="shared" ref="Z12:Z17" si="2">P12+R12</f>
        <v>1121.0652247167357</v>
      </c>
      <c r="AG12" t="s">
        <v>25</v>
      </c>
      <c r="AH12">
        <v>4</v>
      </c>
    </row>
    <row r="13" spans="1:34" x14ac:dyDescent="0.2">
      <c r="A13">
        <v>3</v>
      </c>
      <c r="B13" t="s">
        <v>78</v>
      </c>
      <c r="D13" t="s">
        <v>37</v>
      </c>
      <c r="E13">
        <v>10</v>
      </c>
      <c r="F13">
        <v>84</v>
      </c>
      <c r="G13">
        <f>VLOOKUP(C11,$AF$18:$AI$27, 4, FALSE)</f>
        <v>155</v>
      </c>
      <c r="H13">
        <f>$AG$38</f>
        <v>0.56999999999999995</v>
      </c>
      <c r="J13">
        <f>$AG$46</f>
        <v>1</v>
      </c>
      <c r="L13">
        <v>0</v>
      </c>
      <c r="M13">
        <v>0</v>
      </c>
      <c r="N13">
        <f>(1.185 + 0.00454 *G13- 0.0000026 *G13^2 + 0.315 *H13)^2 *J13 + M13</f>
        <v>4.0231734662249998</v>
      </c>
      <c r="O13">
        <f t="shared" si="0"/>
        <v>8.3279690750857505E-2</v>
      </c>
      <c r="P13">
        <f t="shared" si="1"/>
        <v>69.954940230720297</v>
      </c>
      <c r="Q13">
        <f>$AG$50</f>
        <v>1.7600000000000001E-2</v>
      </c>
      <c r="R13">
        <f>E13*Q13*F13</f>
        <v>14.784000000000001</v>
      </c>
      <c r="Z13">
        <f t="shared" si="2"/>
        <v>84.738940230720303</v>
      </c>
      <c r="AF13">
        <v>257</v>
      </c>
      <c r="AG13" t="s">
        <v>24</v>
      </c>
      <c r="AH13">
        <v>3.0539999999999998</v>
      </c>
    </row>
    <row r="14" spans="1:34" x14ac:dyDescent="0.2">
      <c r="A14">
        <v>3</v>
      </c>
      <c r="B14" t="s">
        <v>79</v>
      </c>
      <c r="D14" t="s">
        <v>37</v>
      </c>
      <c r="E14">
        <v>20</v>
      </c>
      <c r="F14">
        <v>281</v>
      </c>
      <c r="G14">
        <f>VLOOKUP(C11,$AF$18:$AI$27, 4, FALSE)</f>
        <v>155</v>
      </c>
      <c r="H14">
        <f>$AG$38</f>
        <v>0.56999999999999995</v>
      </c>
      <c r="J14">
        <f>$AG$46</f>
        <v>1</v>
      </c>
      <c r="L14">
        <v>0</v>
      </c>
      <c r="M14">
        <v>0</v>
      </c>
      <c r="N14">
        <f>(1.185 + 0.00454 *G14- 0.0000026 *G14^2 + 0.315 *H14)^2 *J14 + M14</f>
        <v>4.0231734662249998</v>
      </c>
      <c r="O14">
        <f t="shared" si="0"/>
        <v>8.3279690750857505E-2</v>
      </c>
      <c r="P14">
        <f t="shared" si="1"/>
        <v>468.03186201981919</v>
      </c>
      <c r="R14">
        <f t="shared" ref="R14:R16" si="3">E14*Q14*F14</f>
        <v>0</v>
      </c>
      <c r="Z14">
        <f t="shared" si="2"/>
        <v>468.03186201981919</v>
      </c>
    </row>
    <row r="15" spans="1:34" x14ac:dyDescent="0.2">
      <c r="A15">
        <v>4</v>
      </c>
      <c r="D15" t="s">
        <v>38</v>
      </c>
      <c r="E15">
        <v>40</v>
      </c>
      <c r="F15">
        <v>365</v>
      </c>
      <c r="G15">
        <f>AG32</f>
        <v>600</v>
      </c>
      <c r="H15">
        <f>$AG$39</f>
        <v>0.1</v>
      </c>
      <c r="J15">
        <f>$AG$46</f>
        <v>1</v>
      </c>
      <c r="L15">
        <v>0</v>
      </c>
      <c r="M15">
        <v>0</v>
      </c>
      <c r="N15">
        <f>(1.185 + 0.00454 *G15- 0.0000026 *G15^2 + 0.315 *H15)^2 *J15 + M15</f>
        <v>9.0270202499999979</v>
      </c>
      <c r="O15">
        <f t="shared" si="0"/>
        <v>0.18685931917499995</v>
      </c>
      <c r="P15">
        <f t="shared" si="1"/>
        <v>2728.1460599549996</v>
      </c>
      <c r="R15">
        <f t="shared" si="3"/>
        <v>0</v>
      </c>
      <c r="Z15">
        <f t="shared" si="2"/>
        <v>2728.1460599549996</v>
      </c>
    </row>
    <row r="16" spans="1:34" x14ac:dyDescent="0.2">
      <c r="A16">
        <v>5</v>
      </c>
      <c r="B16" t="s">
        <v>78</v>
      </c>
      <c r="D16" t="s">
        <v>39</v>
      </c>
      <c r="E16">
        <v>30</v>
      </c>
      <c r="F16">
        <v>84</v>
      </c>
      <c r="G16">
        <f>AH32</f>
        <v>225</v>
      </c>
      <c r="H16">
        <f>$AG$40</f>
        <v>0.8</v>
      </c>
      <c r="J16">
        <f>$AG$46</f>
        <v>1</v>
      </c>
      <c r="L16">
        <v>0</v>
      </c>
      <c r="M16">
        <v>0</v>
      </c>
      <c r="N16">
        <f>(1.185 + 0.00454 *G16- 0.0000026 *G16^2 + 0.315 *H16)^2 *J16 + M16</f>
        <v>5.4143472656250013</v>
      </c>
      <c r="O16">
        <f t="shared" si="0"/>
        <v>0.11207698839843752</v>
      </c>
      <c r="P16">
        <f t="shared" si="1"/>
        <v>282.43401076406252</v>
      </c>
      <c r="Q16">
        <f>$AG$51</f>
        <v>2.0400000000000001E-2</v>
      </c>
      <c r="R16">
        <f t="shared" si="3"/>
        <v>51.408000000000008</v>
      </c>
      <c r="Z16">
        <f t="shared" si="2"/>
        <v>333.84201076406254</v>
      </c>
    </row>
    <row r="17" spans="1:35" x14ac:dyDescent="0.2">
      <c r="A17">
        <v>5</v>
      </c>
      <c r="B17" t="s">
        <v>79</v>
      </c>
      <c r="D17" t="s">
        <v>39</v>
      </c>
      <c r="E17">
        <v>20</v>
      </c>
      <c r="F17">
        <v>281</v>
      </c>
      <c r="G17">
        <f>AH32</f>
        <v>225</v>
      </c>
      <c r="H17">
        <f>$AG$40</f>
        <v>0.8</v>
      </c>
      <c r="J17">
        <f>$AG$46</f>
        <v>1</v>
      </c>
      <c r="L17">
        <v>0</v>
      </c>
      <c r="M17">
        <v>0</v>
      </c>
      <c r="N17">
        <f>(1.185 + 0.00454 *G17- 0.0000026 *G17^2 + 0.315 *H17)^2 *J17 + M17</f>
        <v>5.4143472656250013</v>
      </c>
      <c r="O17">
        <f t="shared" si="0"/>
        <v>0.11207698839843752</v>
      </c>
      <c r="P17">
        <f t="shared" si="1"/>
        <v>629.87267479921888</v>
      </c>
      <c r="Z17">
        <f t="shared" si="2"/>
        <v>629.87267479921888</v>
      </c>
      <c r="AF17" t="s">
        <v>46</v>
      </c>
      <c r="AG17" t="s">
        <v>35</v>
      </c>
      <c r="AH17" t="s">
        <v>48</v>
      </c>
      <c r="AI17" t="s">
        <v>49</v>
      </c>
    </row>
    <row r="18" spans="1:35" x14ac:dyDescent="0.2">
      <c r="AF18" s="2" t="s">
        <v>50</v>
      </c>
      <c r="AG18" s="2">
        <v>550</v>
      </c>
      <c r="AH18" s="2">
        <v>380</v>
      </c>
      <c r="AI18" s="2">
        <v>155</v>
      </c>
    </row>
    <row r="19" spans="1:35" x14ac:dyDescent="0.2">
      <c r="AF19" s="2" t="s">
        <v>51</v>
      </c>
      <c r="AG19" s="2">
        <v>600</v>
      </c>
      <c r="AH19" s="2">
        <v>415</v>
      </c>
      <c r="AI19" s="2">
        <v>170</v>
      </c>
    </row>
    <row r="20" spans="1:35" x14ac:dyDescent="0.2">
      <c r="AF20" s="2" t="s">
        <v>52</v>
      </c>
      <c r="AG20" s="2">
        <v>650</v>
      </c>
      <c r="AH20" s="2">
        <v>450</v>
      </c>
      <c r="AI20" s="2">
        <v>185</v>
      </c>
    </row>
    <row r="21" spans="1:35" x14ac:dyDescent="0.2">
      <c r="AF21" s="2" t="s">
        <v>53</v>
      </c>
      <c r="AG21" s="2">
        <v>500</v>
      </c>
      <c r="AH21" s="2">
        <v>350</v>
      </c>
      <c r="AI21" s="2">
        <v>145</v>
      </c>
    </row>
    <row r="22" spans="1:35" x14ac:dyDescent="0.2">
      <c r="AF22" s="2" t="s">
        <v>54</v>
      </c>
      <c r="AG22" s="2">
        <v>400</v>
      </c>
      <c r="AH22" s="2">
        <v>275</v>
      </c>
      <c r="AI22" s="2">
        <v>115</v>
      </c>
    </row>
    <row r="23" spans="1:35" x14ac:dyDescent="0.2">
      <c r="AF23" s="2" t="s">
        <v>55</v>
      </c>
      <c r="AG23" s="2">
        <v>450</v>
      </c>
      <c r="AH23" s="2">
        <v>315</v>
      </c>
      <c r="AI23" s="2">
        <v>130</v>
      </c>
    </row>
    <row r="24" spans="1:35" x14ac:dyDescent="0.2">
      <c r="AF24" s="2" t="s">
        <v>56</v>
      </c>
      <c r="AG24" s="2">
        <v>540</v>
      </c>
      <c r="AH24" s="2">
        <v>375</v>
      </c>
      <c r="AI24" s="2">
        <v>150</v>
      </c>
    </row>
    <row r="25" spans="1:35" x14ac:dyDescent="0.2">
      <c r="AF25" s="2" t="s">
        <v>57</v>
      </c>
      <c r="AG25" s="2">
        <v>480</v>
      </c>
      <c r="AH25" s="2">
        <v>335</v>
      </c>
      <c r="AI25" s="2">
        <v>140</v>
      </c>
    </row>
    <row r="26" spans="1:35" x14ac:dyDescent="0.2">
      <c r="AF26" s="2" t="s">
        <v>58</v>
      </c>
      <c r="AG26" s="2">
        <v>600</v>
      </c>
      <c r="AH26" s="2">
        <v>415</v>
      </c>
      <c r="AI26" s="2">
        <v>170</v>
      </c>
    </row>
    <row r="27" spans="1:35" x14ac:dyDescent="0.2">
      <c r="AF27" s="2" t="s">
        <v>59</v>
      </c>
      <c r="AG27" s="2">
        <v>550</v>
      </c>
      <c r="AH27" s="2">
        <v>375</v>
      </c>
      <c r="AI27" s="2">
        <v>150</v>
      </c>
    </row>
    <row r="30" spans="1:35" x14ac:dyDescent="0.2">
      <c r="AF30" s="2" t="s">
        <v>45</v>
      </c>
      <c r="AI30" s="2"/>
    </row>
    <row r="31" spans="1:35" x14ac:dyDescent="0.2">
      <c r="AG31" s="2" t="s">
        <v>43</v>
      </c>
      <c r="AH31" s="2" t="s">
        <v>44</v>
      </c>
    </row>
    <row r="32" spans="1:35" x14ac:dyDescent="0.2">
      <c r="AF32" s="2" t="s">
        <v>42</v>
      </c>
      <c r="AG32">
        <v>600</v>
      </c>
      <c r="AH32">
        <v>225</v>
      </c>
    </row>
    <row r="34" spans="32:36" x14ac:dyDescent="0.2">
      <c r="AJ34" s="3"/>
    </row>
    <row r="35" spans="32:36" x14ac:dyDescent="0.2">
      <c r="AG35" t="s">
        <v>64</v>
      </c>
      <c r="AH35" t="s">
        <v>65</v>
      </c>
    </row>
    <row r="36" spans="32:36" x14ac:dyDescent="0.2">
      <c r="AF36" s="3" t="s">
        <v>60</v>
      </c>
      <c r="AG36">
        <v>1.6E-2</v>
      </c>
      <c r="AH36">
        <v>590</v>
      </c>
    </row>
    <row r="37" spans="32:36" x14ac:dyDescent="0.2">
      <c r="AF37" s="3" t="s">
        <v>61</v>
      </c>
      <c r="AG37" s="2">
        <v>0.6</v>
      </c>
      <c r="AH37">
        <v>590</v>
      </c>
    </row>
    <row r="38" spans="32:36" x14ac:dyDescent="0.2">
      <c r="AF38" s="2" t="s">
        <v>63</v>
      </c>
      <c r="AG38" s="2">
        <v>0.56999999999999995</v>
      </c>
      <c r="AH38">
        <v>590</v>
      </c>
    </row>
    <row r="39" spans="32:36" x14ac:dyDescent="0.2">
      <c r="AF39" s="3" t="s">
        <v>62</v>
      </c>
      <c r="AG39" s="2">
        <v>0.1</v>
      </c>
      <c r="AH39">
        <v>770</v>
      </c>
    </row>
    <row r="40" spans="32:36" x14ac:dyDescent="0.2">
      <c r="AF40" s="3" t="s">
        <v>44</v>
      </c>
      <c r="AG40" s="2">
        <v>0.8</v>
      </c>
      <c r="AH40">
        <v>770</v>
      </c>
    </row>
    <row r="43" spans="32:36" x14ac:dyDescent="0.2">
      <c r="AF43" s="3" t="s">
        <v>66</v>
      </c>
    </row>
    <row r="44" spans="32:36" x14ac:dyDescent="0.2">
      <c r="AF44" s="3" t="s">
        <v>19</v>
      </c>
    </row>
    <row r="45" spans="32:36" x14ac:dyDescent="0.2">
      <c r="AF45" s="3" t="s">
        <v>35</v>
      </c>
      <c r="AG45">
        <v>1.1000000000000001</v>
      </c>
    </row>
    <row r="46" spans="32:36" x14ac:dyDescent="0.2">
      <c r="AF46" s="3" t="s">
        <v>67</v>
      </c>
      <c r="AG46">
        <v>1</v>
      </c>
    </row>
    <row r="49" spans="19:35" x14ac:dyDescent="0.2">
      <c r="AF49" s="3" t="s">
        <v>82</v>
      </c>
      <c r="AG49" t="s">
        <v>86</v>
      </c>
      <c r="AH49" t="s">
        <v>87</v>
      </c>
      <c r="AI49" t="s">
        <v>88</v>
      </c>
    </row>
    <row r="50" spans="19:35" x14ac:dyDescent="0.2">
      <c r="AF50" s="3" t="s">
        <v>49</v>
      </c>
      <c r="AG50" s="2">
        <v>1.7600000000000001E-2</v>
      </c>
      <c r="AH50" s="2" t="s">
        <v>84</v>
      </c>
      <c r="AI50" s="2">
        <v>1.37E-2</v>
      </c>
    </row>
    <row r="51" spans="19:35" x14ac:dyDescent="0.2">
      <c r="AF51" s="3" t="s">
        <v>83</v>
      </c>
      <c r="AG51" s="2">
        <v>2.0400000000000001E-2</v>
      </c>
      <c r="AH51" s="2" t="s">
        <v>85</v>
      </c>
      <c r="AI51" s="2">
        <v>9.1999999999999998E-3</v>
      </c>
    </row>
    <row r="63" spans="19:35" x14ac:dyDescent="0.2">
      <c r="T63" t="s">
        <v>69</v>
      </c>
      <c r="U63" t="s">
        <v>70</v>
      </c>
      <c r="V63" t="s">
        <v>71</v>
      </c>
      <c r="W63" t="s">
        <v>72</v>
      </c>
      <c r="X63" t="s">
        <v>73</v>
      </c>
      <c r="Y63" t="s">
        <v>74</v>
      </c>
    </row>
    <row r="64" spans="19:35" x14ac:dyDescent="0.2">
      <c r="S64">
        <v>1</v>
      </c>
      <c r="T64">
        <v>1</v>
      </c>
      <c r="U64">
        <v>4</v>
      </c>
      <c r="V64">
        <v>7</v>
      </c>
      <c r="W64">
        <f>T64*U64*V64</f>
        <v>28</v>
      </c>
      <c r="X64">
        <v>6</v>
      </c>
      <c r="Y64">
        <v>15</v>
      </c>
    </row>
    <row r="65" spans="19:23" x14ac:dyDescent="0.2">
      <c r="S65">
        <v>2</v>
      </c>
      <c r="T65">
        <v>2</v>
      </c>
      <c r="U65">
        <v>5</v>
      </c>
      <c r="V65">
        <v>8</v>
      </c>
      <c r="W65">
        <f t="shared" ref="W65:W66" si="4">T65*U65*V65</f>
        <v>80</v>
      </c>
    </row>
    <row r="66" spans="19:23" x14ac:dyDescent="0.2">
      <c r="S66">
        <v>4</v>
      </c>
      <c r="T66">
        <v>3</v>
      </c>
      <c r="U66">
        <v>6</v>
      </c>
      <c r="V66">
        <v>9</v>
      </c>
      <c r="W66">
        <f t="shared" si="4"/>
        <v>162</v>
      </c>
    </row>
    <row r="67" spans="19:23" x14ac:dyDescent="0.2">
      <c r="W67">
        <f>W64+W65+W66</f>
        <v>270</v>
      </c>
    </row>
  </sheetData>
  <pageMargins left="0.7" right="0.7" top="0.75" bottom="0.75" header="0.3" footer="0.3"/>
  <ignoredErrors>
    <ignoredError sqref="U5 Z5:AA5 W7:Y7 W5:Y5 X11 X6 W9:Y10 X8:Y8 P5 P6:P9 AA6:AA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3.3.1.1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2026-04-14T00:57:16Z</dcterms:created>
  <dcterms:modified xsi:type="dcterms:W3CDTF">2026-04-29T10:40:31Z</dcterms:modified>
</cp:coreProperties>
</file>