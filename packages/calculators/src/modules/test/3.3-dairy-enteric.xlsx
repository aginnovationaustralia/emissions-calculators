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202300"/>
  <xr:revisionPtr revIDLastSave="0" documentId="13_ncr:1_{655AD9B2-1947-3C40-82A8-C6A8CA4971A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3.3.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7" i="1" l="1"/>
  <c r="AC56" i="1"/>
  <c r="AC55" i="1"/>
  <c r="AC54" i="1"/>
  <c r="AC53" i="1"/>
  <c r="AC52" i="1"/>
  <c r="AC51" i="1"/>
  <c r="AD51" i="1" s="1"/>
  <c r="AC107" i="1"/>
  <c r="AC106" i="1"/>
  <c r="AC105" i="1"/>
  <c r="AC104" i="1"/>
  <c r="AC103" i="1"/>
  <c r="AC102" i="1"/>
  <c r="AC101" i="1"/>
  <c r="AD101" i="1" s="1"/>
  <c r="AC97" i="1"/>
  <c r="AC96" i="1"/>
  <c r="AC95" i="1"/>
  <c r="AC94" i="1"/>
  <c r="AC93" i="1"/>
  <c r="AC92" i="1"/>
  <c r="AC91" i="1"/>
  <c r="AC87" i="1"/>
  <c r="AC86" i="1"/>
  <c r="AC85" i="1"/>
  <c r="AC84" i="1"/>
  <c r="AC83" i="1"/>
  <c r="AC82" i="1"/>
  <c r="AC81" i="1"/>
  <c r="AD81" i="1" s="1"/>
  <c r="AC77" i="1"/>
  <c r="AC76" i="1"/>
  <c r="AC75" i="1"/>
  <c r="AC74" i="1"/>
  <c r="AC73" i="1"/>
  <c r="AC72" i="1"/>
  <c r="AC71" i="1"/>
  <c r="AD71" i="1" s="1"/>
  <c r="AC47" i="1"/>
  <c r="AC46" i="1"/>
  <c r="AC45" i="1"/>
  <c r="AC44" i="1"/>
  <c r="AC43" i="1"/>
  <c r="AC42" i="1"/>
  <c r="AC41" i="1"/>
  <c r="AD41" i="1" s="1"/>
  <c r="AC37" i="1"/>
  <c r="AC36" i="1"/>
  <c r="AC35" i="1"/>
  <c r="AC34" i="1"/>
  <c r="AC33" i="1"/>
  <c r="AC32" i="1"/>
  <c r="AC31" i="1"/>
  <c r="AC27" i="1"/>
  <c r="AC26" i="1"/>
  <c r="AC25" i="1"/>
  <c r="AC24" i="1"/>
  <c r="AC23" i="1"/>
  <c r="AC22" i="1"/>
  <c r="AC21" i="1"/>
  <c r="AD21" i="1" s="1"/>
  <c r="AC12" i="1"/>
  <c r="AC13" i="1"/>
  <c r="AC14" i="1"/>
  <c r="AC15" i="1"/>
  <c r="AC16" i="1"/>
  <c r="AC17" i="1"/>
  <c r="AD31" i="1"/>
  <c r="M57" i="1"/>
  <c r="K57" i="1"/>
  <c r="I57" i="1"/>
  <c r="Q57" i="1" s="1"/>
  <c r="R57" i="1" s="1"/>
  <c r="S57" i="1" s="1"/>
  <c r="AF57" i="1" s="1"/>
  <c r="T56" i="1"/>
  <c r="U56" i="1" s="1"/>
  <c r="M56" i="1"/>
  <c r="K56" i="1"/>
  <c r="I56" i="1"/>
  <c r="Q56" i="1" s="1"/>
  <c r="U55" i="1"/>
  <c r="M55" i="1"/>
  <c r="K55" i="1"/>
  <c r="I55" i="1"/>
  <c r="U54" i="1"/>
  <c r="M54" i="1"/>
  <c r="K54" i="1"/>
  <c r="I54" i="1"/>
  <c r="Q54" i="1" s="1"/>
  <c r="R54" i="1" s="1"/>
  <c r="S54" i="1" s="1"/>
  <c r="AF54" i="1" s="1"/>
  <c r="T53" i="1"/>
  <c r="U53" i="1" s="1"/>
  <c r="M53" i="1"/>
  <c r="K53" i="1"/>
  <c r="I53" i="1"/>
  <c r="Q53" i="1" s="1"/>
  <c r="M52" i="1"/>
  <c r="K52" i="1"/>
  <c r="I52" i="1"/>
  <c r="AE51" i="1"/>
  <c r="AA51" i="1"/>
  <c r="Z51" i="1"/>
  <c r="Y51" i="1"/>
  <c r="W51" i="1"/>
  <c r="M51" i="1"/>
  <c r="K51" i="1"/>
  <c r="I51" i="1"/>
  <c r="M117" i="1"/>
  <c r="K117" i="1"/>
  <c r="I117" i="1"/>
  <c r="T116" i="1"/>
  <c r="U116" i="1" s="1"/>
  <c r="M116" i="1"/>
  <c r="K116" i="1"/>
  <c r="I116" i="1"/>
  <c r="Q116" i="1" s="1"/>
  <c r="U115" i="1"/>
  <c r="M115" i="1"/>
  <c r="K115" i="1"/>
  <c r="I115" i="1"/>
  <c r="Q115" i="1" s="1"/>
  <c r="R115" i="1" s="1"/>
  <c r="S115" i="1" s="1"/>
  <c r="AF115" i="1" s="1"/>
  <c r="U114" i="1"/>
  <c r="M114" i="1"/>
  <c r="K114" i="1"/>
  <c r="I114" i="1"/>
  <c r="T113" i="1"/>
  <c r="U113" i="1" s="1"/>
  <c r="M113" i="1"/>
  <c r="K113" i="1"/>
  <c r="I113" i="1"/>
  <c r="Q113" i="1" s="1"/>
  <c r="M112" i="1"/>
  <c r="K112" i="1"/>
  <c r="I112" i="1"/>
  <c r="AE111" i="1"/>
  <c r="AD111" i="1"/>
  <c r="AA111" i="1"/>
  <c r="Z111" i="1"/>
  <c r="Y111" i="1"/>
  <c r="W111" i="1"/>
  <c r="M111" i="1"/>
  <c r="K111" i="1"/>
  <c r="I111" i="1"/>
  <c r="M107" i="1"/>
  <c r="K107" i="1"/>
  <c r="I107" i="1"/>
  <c r="T106" i="1"/>
  <c r="U106" i="1" s="1"/>
  <c r="M106" i="1"/>
  <c r="K106" i="1"/>
  <c r="I106" i="1"/>
  <c r="U105" i="1"/>
  <c r="M105" i="1"/>
  <c r="K105" i="1"/>
  <c r="I105" i="1"/>
  <c r="U104" i="1"/>
  <c r="M104" i="1"/>
  <c r="K104" i="1"/>
  <c r="I104" i="1"/>
  <c r="T103" i="1"/>
  <c r="U103" i="1" s="1"/>
  <c r="M103" i="1"/>
  <c r="K103" i="1"/>
  <c r="I103" i="1"/>
  <c r="M102" i="1"/>
  <c r="K102" i="1"/>
  <c r="I102" i="1"/>
  <c r="AE101" i="1"/>
  <c r="AA101" i="1"/>
  <c r="Z101" i="1"/>
  <c r="O101" i="1"/>
  <c r="M101" i="1"/>
  <c r="K101" i="1"/>
  <c r="I101" i="1"/>
  <c r="M97" i="1"/>
  <c r="I97" i="1"/>
  <c r="T96" i="1"/>
  <c r="U96" i="1" s="1"/>
  <c r="M96" i="1"/>
  <c r="I96" i="1"/>
  <c r="U95" i="1"/>
  <c r="M95" i="1"/>
  <c r="I95" i="1"/>
  <c r="U94" i="1"/>
  <c r="M94" i="1"/>
  <c r="I94" i="1"/>
  <c r="T93" i="1"/>
  <c r="U93" i="1" s="1"/>
  <c r="M93" i="1"/>
  <c r="I93" i="1"/>
  <c r="M92" i="1"/>
  <c r="I92" i="1"/>
  <c r="AE91" i="1"/>
  <c r="AD91" i="1"/>
  <c r="AA91" i="1"/>
  <c r="Z91" i="1"/>
  <c r="Y91" i="1"/>
  <c r="W91" i="1"/>
  <c r="M91" i="1"/>
  <c r="I91" i="1"/>
  <c r="M87" i="1"/>
  <c r="K87" i="1"/>
  <c r="T86" i="1"/>
  <c r="U86" i="1" s="1"/>
  <c r="M86" i="1"/>
  <c r="K86" i="1"/>
  <c r="U85" i="1"/>
  <c r="M85" i="1"/>
  <c r="K85" i="1"/>
  <c r="U84" i="1"/>
  <c r="M84" i="1"/>
  <c r="K84" i="1"/>
  <c r="T83" i="1"/>
  <c r="U83" i="1" s="1"/>
  <c r="M83" i="1"/>
  <c r="K83" i="1"/>
  <c r="M82" i="1"/>
  <c r="K82" i="1"/>
  <c r="Q82" i="1"/>
  <c r="R82" i="1" s="1"/>
  <c r="S82" i="1" s="1"/>
  <c r="AF82" i="1" s="1"/>
  <c r="AE81" i="1"/>
  <c r="AA81" i="1"/>
  <c r="Z81" i="1"/>
  <c r="Y81" i="1"/>
  <c r="W81" i="1"/>
  <c r="M81" i="1"/>
  <c r="K81" i="1"/>
  <c r="M77" i="1"/>
  <c r="K77" i="1"/>
  <c r="I77" i="1"/>
  <c r="Q77" i="1" s="1"/>
  <c r="R77" i="1" s="1"/>
  <c r="S77" i="1" s="1"/>
  <c r="AF77" i="1" s="1"/>
  <c r="T76" i="1"/>
  <c r="U76" i="1" s="1"/>
  <c r="M76" i="1"/>
  <c r="K76" i="1"/>
  <c r="I76" i="1"/>
  <c r="U75" i="1"/>
  <c r="M75" i="1"/>
  <c r="K75" i="1"/>
  <c r="I75" i="1"/>
  <c r="U74" i="1"/>
  <c r="M74" i="1"/>
  <c r="K74" i="1"/>
  <c r="I74" i="1"/>
  <c r="Q74" i="1" s="1"/>
  <c r="R74" i="1" s="1"/>
  <c r="S74" i="1" s="1"/>
  <c r="T73" i="1"/>
  <c r="U73" i="1" s="1"/>
  <c r="M73" i="1"/>
  <c r="K73" i="1"/>
  <c r="I73" i="1"/>
  <c r="M72" i="1"/>
  <c r="K72" i="1"/>
  <c r="I72" i="1"/>
  <c r="AE71" i="1"/>
  <c r="AA71" i="1"/>
  <c r="Z71" i="1"/>
  <c r="Y71" i="1"/>
  <c r="W71" i="1"/>
  <c r="M71" i="1"/>
  <c r="K71" i="1"/>
  <c r="I71" i="1"/>
  <c r="M47" i="1"/>
  <c r="K47" i="1"/>
  <c r="I47" i="1"/>
  <c r="T46" i="1"/>
  <c r="U46" i="1" s="1"/>
  <c r="M46" i="1"/>
  <c r="K46" i="1"/>
  <c r="I46" i="1"/>
  <c r="U45" i="1"/>
  <c r="M45" i="1"/>
  <c r="K45" i="1"/>
  <c r="I45" i="1"/>
  <c r="U44" i="1"/>
  <c r="M44" i="1"/>
  <c r="K44" i="1"/>
  <c r="I44" i="1"/>
  <c r="T43" i="1"/>
  <c r="U43" i="1" s="1"/>
  <c r="M43" i="1"/>
  <c r="K43" i="1"/>
  <c r="I43" i="1"/>
  <c r="M42" i="1"/>
  <c r="K42" i="1"/>
  <c r="I42" i="1"/>
  <c r="Q42" i="1" s="1"/>
  <c r="R42" i="1" s="1"/>
  <c r="S42" i="1" s="1"/>
  <c r="AF42" i="1" s="1"/>
  <c r="AE41" i="1"/>
  <c r="AA41" i="1"/>
  <c r="Z41" i="1"/>
  <c r="Y41" i="1"/>
  <c r="W41" i="1"/>
  <c r="O41" i="1" s="1"/>
  <c r="M41" i="1"/>
  <c r="K41" i="1"/>
  <c r="I41" i="1"/>
  <c r="I37" i="1"/>
  <c r="I36" i="1"/>
  <c r="I35" i="1"/>
  <c r="Q35" i="1" s="1"/>
  <c r="R35" i="1" s="1"/>
  <c r="S35" i="1" s="1"/>
  <c r="I34" i="1"/>
  <c r="I33" i="1"/>
  <c r="I32" i="1"/>
  <c r="I31" i="1"/>
  <c r="I27" i="1"/>
  <c r="I26" i="1"/>
  <c r="I25" i="1"/>
  <c r="I24" i="1"/>
  <c r="I23" i="1"/>
  <c r="I22" i="1"/>
  <c r="I21" i="1"/>
  <c r="I17" i="1"/>
  <c r="I16" i="1"/>
  <c r="I15" i="1"/>
  <c r="M37" i="1"/>
  <c r="K37" i="1"/>
  <c r="T36" i="1"/>
  <c r="U36" i="1" s="1"/>
  <c r="M36" i="1"/>
  <c r="K36" i="1"/>
  <c r="U35" i="1"/>
  <c r="M35" i="1"/>
  <c r="K35" i="1"/>
  <c r="U34" i="1"/>
  <c r="M34" i="1"/>
  <c r="K34" i="1"/>
  <c r="T33" i="1"/>
  <c r="U33" i="1" s="1"/>
  <c r="M33" i="1"/>
  <c r="K33" i="1"/>
  <c r="M32" i="1"/>
  <c r="K32" i="1"/>
  <c r="AE31" i="1"/>
  <c r="AA31" i="1"/>
  <c r="Z31" i="1"/>
  <c r="Y31" i="1"/>
  <c r="W31" i="1"/>
  <c r="M31" i="1"/>
  <c r="K31" i="1"/>
  <c r="M27" i="1"/>
  <c r="K27" i="1"/>
  <c r="T26" i="1"/>
  <c r="U26" i="1" s="1"/>
  <c r="M26" i="1"/>
  <c r="K26" i="1"/>
  <c r="U25" i="1"/>
  <c r="M25" i="1"/>
  <c r="K25" i="1"/>
  <c r="U24" i="1"/>
  <c r="M24" i="1"/>
  <c r="K24" i="1"/>
  <c r="T23" i="1"/>
  <c r="U23" i="1" s="1"/>
  <c r="M23" i="1"/>
  <c r="K23" i="1"/>
  <c r="M22" i="1"/>
  <c r="K22" i="1"/>
  <c r="AE21" i="1"/>
  <c r="AA21" i="1"/>
  <c r="Z21" i="1"/>
  <c r="Y21" i="1"/>
  <c r="W21" i="1"/>
  <c r="M21" i="1"/>
  <c r="K21" i="1"/>
  <c r="U14" i="1"/>
  <c r="U15" i="1"/>
  <c r="T13" i="1"/>
  <c r="U13" i="1" s="1"/>
  <c r="T16" i="1"/>
  <c r="U16" i="1" s="1"/>
  <c r="W11" i="1"/>
  <c r="M17" i="1"/>
  <c r="M14" i="1"/>
  <c r="K17" i="1"/>
  <c r="K14" i="1"/>
  <c r="I14" i="1"/>
  <c r="AC11" i="1"/>
  <c r="AD11" i="1" s="1"/>
  <c r="AE11" i="1"/>
  <c r="AA11" i="1"/>
  <c r="Z11" i="1"/>
  <c r="Y11" i="1"/>
  <c r="M13" i="1"/>
  <c r="M15" i="1"/>
  <c r="M16" i="1"/>
  <c r="M12" i="1"/>
  <c r="M11" i="1"/>
  <c r="K16" i="1"/>
  <c r="K15" i="1"/>
  <c r="K13" i="1"/>
  <c r="K12" i="1"/>
  <c r="K11" i="1"/>
  <c r="I13" i="1"/>
  <c r="I12" i="1"/>
  <c r="I11" i="1"/>
  <c r="Q104" i="1" l="1"/>
  <c r="R104" i="1" s="1"/>
  <c r="S104" i="1" s="1"/>
  <c r="AF104" i="1" s="1"/>
  <c r="Q112" i="1"/>
  <c r="R112" i="1" s="1"/>
  <c r="S112" i="1" s="1"/>
  <c r="AF112" i="1" s="1"/>
  <c r="Q107" i="1"/>
  <c r="R107" i="1" s="1"/>
  <c r="S107" i="1" s="1"/>
  <c r="AF107" i="1" s="1"/>
  <c r="Q17" i="1"/>
  <c r="R17" i="1" s="1"/>
  <c r="S17" i="1" s="1"/>
  <c r="AF17" i="1" s="1"/>
  <c r="Q105" i="1"/>
  <c r="R105" i="1" s="1"/>
  <c r="S105" i="1" s="1"/>
  <c r="AF105" i="1" s="1"/>
  <c r="AF35" i="1"/>
  <c r="Q102" i="1"/>
  <c r="R102" i="1" s="1"/>
  <c r="S102" i="1" s="1"/>
  <c r="AF102" i="1" s="1"/>
  <c r="Q43" i="1"/>
  <c r="Q46" i="1"/>
  <c r="Q103" i="1"/>
  <c r="AF103" i="1" s="1"/>
  <c r="Q114" i="1"/>
  <c r="R114" i="1" s="1"/>
  <c r="S114" i="1" s="1"/>
  <c r="AF114" i="1" s="1"/>
  <c r="Q117" i="1"/>
  <c r="R117" i="1" s="1"/>
  <c r="S117" i="1" s="1"/>
  <c r="AF117" i="1" s="1"/>
  <c r="Q106" i="1"/>
  <c r="AF106" i="1" s="1"/>
  <c r="Q55" i="1"/>
  <c r="R55" i="1" s="1"/>
  <c r="S55" i="1" s="1"/>
  <c r="AF55" i="1" s="1"/>
  <c r="AF113" i="1"/>
  <c r="AF116" i="1"/>
  <c r="AF53" i="1"/>
  <c r="AF56" i="1"/>
  <c r="P51" i="1"/>
  <c r="Q51" i="1" s="1"/>
  <c r="R51" i="1" s="1"/>
  <c r="S51" i="1" s="1"/>
  <c r="AF51" i="1" s="1"/>
  <c r="P101" i="1"/>
  <c r="Q101" i="1" s="1"/>
  <c r="R101" i="1" s="1"/>
  <c r="S101" i="1" s="1"/>
  <c r="AF101" i="1" s="1"/>
  <c r="Q52" i="1"/>
  <c r="R52" i="1" s="1"/>
  <c r="S52" i="1" s="1"/>
  <c r="AF52" i="1" s="1"/>
  <c r="P111" i="1"/>
  <c r="Q111" i="1" s="1"/>
  <c r="R111" i="1" s="1"/>
  <c r="S111" i="1" s="1"/>
  <c r="AF111" i="1" s="1"/>
  <c r="AG101" i="1"/>
  <c r="AF74" i="1"/>
  <c r="Q73" i="1"/>
  <c r="AF73" i="1" s="1"/>
  <c r="Q93" i="1"/>
  <c r="AF93" i="1" s="1"/>
  <c r="Q26" i="1"/>
  <c r="AF26" i="1" s="1"/>
  <c r="Q27" i="1"/>
  <c r="R27" i="1" s="1"/>
  <c r="S27" i="1" s="1"/>
  <c r="AF27" i="1" s="1"/>
  <c r="Q15" i="1"/>
  <c r="Q36" i="1"/>
  <c r="AF36" i="1" s="1"/>
  <c r="AF46" i="1"/>
  <c r="Q94" i="1"/>
  <c r="R94" i="1" s="1"/>
  <c r="S94" i="1" s="1"/>
  <c r="AF94" i="1" s="1"/>
  <c r="Q97" i="1"/>
  <c r="R97" i="1" s="1"/>
  <c r="S97" i="1" s="1"/>
  <c r="AF97" i="1" s="1"/>
  <c r="Q23" i="1"/>
  <c r="AF23" i="1" s="1"/>
  <c r="AF43" i="1"/>
  <c r="Q83" i="1"/>
  <c r="AF83" i="1" s="1"/>
  <c r="Q47" i="1"/>
  <c r="R47" i="1" s="1"/>
  <c r="S47" i="1" s="1"/>
  <c r="AF47" i="1" s="1"/>
  <c r="Q95" i="1"/>
  <c r="R95" i="1" s="1"/>
  <c r="S95" i="1" s="1"/>
  <c r="AF95" i="1" s="1"/>
  <c r="Q33" i="1"/>
  <c r="AF33" i="1" s="1"/>
  <c r="Q84" i="1"/>
  <c r="R84" i="1" s="1"/>
  <c r="S84" i="1" s="1"/>
  <c r="AF84" i="1" s="1"/>
  <c r="Q87" i="1"/>
  <c r="R87" i="1" s="1"/>
  <c r="S87" i="1" s="1"/>
  <c r="AF87" i="1" s="1"/>
  <c r="Q92" i="1"/>
  <c r="R92" i="1" s="1"/>
  <c r="S92" i="1" s="1"/>
  <c r="AF92" i="1" s="1"/>
  <c r="P41" i="1"/>
  <c r="Q41" i="1" s="1"/>
  <c r="R41" i="1" s="1"/>
  <c r="S41" i="1" s="1"/>
  <c r="AF41" i="1" s="1"/>
  <c r="Q24" i="1"/>
  <c r="R24" i="1" s="1"/>
  <c r="S24" i="1" s="1"/>
  <c r="AF24" i="1" s="1"/>
  <c r="Q75" i="1"/>
  <c r="R75" i="1" s="1"/>
  <c r="S75" i="1" s="1"/>
  <c r="AF75" i="1" s="1"/>
  <c r="Q86" i="1"/>
  <c r="AF86" i="1" s="1"/>
  <c r="Q14" i="1"/>
  <c r="R14" i="1" s="1"/>
  <c r="S14" i="1" s="1"/>
  <c r="AF14" i="1" s="1"/>
  <c r="Q44" i="1"/>
  <c r="R44" i="1" s="1"/>
  <c r="S44" i="1" s="1"/>
  <c r="AF44" i="1" s="1"/>
  <c r="Q96" i="1"/>
  <c r="AF96" i="1" s="1"/>
  <c r="Q34" i="1"/>
  <c r="R34" i="1" s="1"/>
  <c r="S34" i="1" s="1"/>
  <c r="AF34" i="1" s="1"/>
  <c r="Q76" i="1"/>
  <c r="AF76" i="1" s="1"/>
  <c r="Q85" i="1"/>
  <c r="R85" i="1" s="1"/>
  <c r="S85" i="1" s="1"/>
  <c r="AF85" i="1" s="1"/>
  <c r="Q37" i="1"/>
  <c r="R37" i="1" s="1"/>
  <c r="S37" i="1" s="1"/>
  <c r="AF37" i="1" s="1"/>
  <c r="Q72" i="1"/>
  <c r="R72" i="1" s="1"/>
  <c r="S72" i="1" s="1"/>
  <c r="AF72" i="1" s="1"/>
  <c r="Q45" i="1"/>
  <c r="R45" i="1" s="1"/>
  <c r="S45" i="1" s="1"/>
  <c r="AF45" i="1" s="1"/>
  <c r="P81" i="1"/>
  <c r="Q81" i="1" s="1"/>
  <c r="R81" i="1" s="1"/>
  <c r="S81" i="1" s="1"/>
  <c r="AF81" i="1" s="1"/>
  <c r="Q22" i="1"/>
  <c r="R22" i="1" s="1"/>
  <c r="S22" i="1" s="1"/>
  <c r="AF22" i="1" s="1"/>
  <c r="Q25" i="1"/>
  <c r="R25" i="1" s="1"/>
  <c r="S25" i="1" s="1"/>
  <c r="AF25" i="1" s="1"/>
  <c r="Q32" i="1"/>
  <c r="R32" i="1" s="1"/>
  <c r="S32" i="1" s="1"/>
  <c r="AF32" i="1" s="1"/>
  <c r="P91" i="1"/>
  <c r="Q91" i="1" s="1"/>
  <c r="R91" i="1" s="1"/>
  <c r="S91" i="1" s="1"/>
  <c r="AF91" i="1" s="1"/>
  <c r="P71" i="1"/>
  <c r="Q71" i="1" s="1"/>
  <c r="R71" i="1" s="1"/>
  <c r="S71" i="1" s="1"/>
  <c r="AF71" i="1" s="1"/>
  <c r="P31" i="1"/>
  <c r="Q31" i="1" s="1"/>
  <c r="R31" i="1" s="1"/>
  <c r="S31" i="1" s="1"/>
  <c r="AF31" i="1" s="1"/>
  <c r="P21" i="1"/>
  <c r="Q21" i="1" s="1"/>
  <c r="R21" i="1" s="1"/>
  <c r="S21" i="1" s="1"/>
  <c r="AF21" i="1" s="1"/>
  <c r="P11" i="1"/>
  <c r="Q12" i="1"/>
  <c r="R12" i="1" s="1"/>
  <c r="Q13" i="1"/>
  <c r="R15" i="1"/>
  <c r="Q16" i="1"/>
  <c r="AG111" i="1" l="1"/>
  <c r="AG51" i="1"/>
  <c r="AG31" i="1"/>
  <c r="AG81" i="1"/>
  <c r="AG21" i="1"/>
  <c r="AG41" i="1"/>
  <c r="AG71" i="1"/>
  <c r="AF13" i="1"/>
  <c r="S12" i="1"/>
  <c r="AF12" i="1" s="1"/>
  <c r="AG91" i="1"/>
  <c r="AF16" i="1"/>
  <c r="S15" i="1"/>
  <c r="AF15" i="1" s="1"/>
  <c r="Q11" i="1"/>
  <c r="R11" i="1" s="1"/>
  <c r="S11" i="1" s="1"/>
  <c r="AF11" i="1" l="1"/>
  <c r="AG11" i="1" s="1"/>
</calcChain>
</file>

<file path=xl/sharedStrings.xml><?xml version="1.0" encoding="utf-8"?>
<sst xmlns="http://schemas.openxmlformats.org/spreadsheetml/2006/main" count="249" uniqueCount="94">
  <si>
    <t>0.795 * DMDj- 0.0014</t>
  </si>
  <si>
    <t>MSj / (0.01 * (FCj + PCj))</t>
  </si>
  <si>
    <t>(MPj * 1.03 * NE) / (GEC * k * qmj)</t>
  </si>
  <si>
    <t>(1.185 + 0.00454 * Wj- 0.0000026 * Wj^2 + 0.315 * LWGj)^2 * MRj + MIj</t>
  </si>
  <si>
    <t>20.7 * Ij * 10^-3</t>
  </si>
  <si>
    <t>SUM (( Nj=1,2,4 * Mj=1,2,4 * Dj=1,2,4) + (Nj=3,5 * Mj=3,5 * Dj=3,5)+ (Nj=3,5 * MPWenteric,j=3,5 * Dj=3,5)) * 10^-3</t>
  </si>
  <si>
    <t>242</t>
  </si>
  <si>
    <t>204</t>
  </si>
  <si>
    <t>253</t>
  </si>
  <si>
    <t>255</t>
  </si>
  <si>
    <t>192</t>
  </si>
  <si>
    <t>input</t>
  </si>
  <si>
    <t>expression</t>
  </si>
  <si>
    <t>constant</t>
  </si>
  <si>
    <t>MSj</t>
  </si>
  <si>
    <t>Wj</t>
  </si>
  <si>
    <t>LWGj</t>
  </si>
  <si>
    <t>MRj</t>
  </si>
  <si>
    <t>DMDj</t>
  </si>
  <si>
    <t>qmj</t>
  </si>
  <si>
    <t>k</t>
  </si>
  <si>
    <t>GEC</t>
  </si>
  <si>
    <t>NE</t>
  </si>
  <si>
    <t>FCj</t>
  </si>
  <si>
    <t>PCj</t>
  </si>
  <si>
    <t>MPj</t>
  </si>
  <si>
    <t>MIj</t>
  </si>
  <si>
    <t>Ij</t>
  </si>
  <si>
    <t>Mj</t>
  </si>
  <si>
    <t>MPWenteric,j=3,5</t>
  </si>
  <si>
    <t>Eenteric</t>
  </si>
  <si>
    <t>Scenario</t>
  </si>
  <si>
    <t>Class</t>
  </si>
  <si>
    <t>Milking cows</t>
  </si>
  <si>
    <t>Heifers &gt; 1 year</t>
  </si>
  <si>
    <t>Heifers &lt; 1 year</t>
  </si>
  <si>
    <t>Bulls &gt; 1 year</t>
  </si>
  <si>
    <t>Bulls &lt; 1 year</t>
  </si>
  <si>
    <t>Nj</t>
  </si>
  <si>
    <t>Liveweight of each class of stock.</t>
  </si>
  <si>
    <t>Bulls</t>
  </si>
  <si>
    <t>Bulls &gt; 1</t>
  </si>
  <si>
    <t>Bulls &lt; 1 (weaned)</t>
  </si>
  <si>
    <t>Table A.1.3.2</t>
  </si>
  <si>
    <t>Table A.1.3.1</t>
  </si>
  <si>
    <t>Breed</t>
  </si>
  <si>
    <t>Heifers &gt; 1</t>
  </si>
  <si>
    <t>Heifers &lt; 1</t>
  </si>
  <si>
    <t>Medium Friesian</t>
  </si>
  <si>
    <t>Large Friesian</t>
  </si>
  <si>
    <t>Holstein-Friesian</t>
  </si>
  <si>
    <t>Friesian crossbred</t>
  </si>
  <si>
    <t>Jersey</t>
  </si>
  <si>
    <t>Jersey crossbred</t>
  </si>
  <si>
    <t>Ayrshire</t>
  </si>
  <si>
    <t>Guernsey</t>
  </si>
  <si>
    <t>Brown Swiss</t>
  </si>
  <si>
    <t>Illawarra/Aussie Red</t>
  </si>
  <si>
    <t>Milking Cows </t>
  </si>
  <si>
    <t>Heifers &gt;1</t>
  </si>
  <si>
    <t>Bulls &gt;1</t>
  </si>
  <si>
    <t>Heifers &lt;1 (weaned)</t>
  </si>
  <si>
    <t>LWG</t>
  </si>
  <si>
    <t>WR</t>
  </si>
  <si>
    <t>A.1.3.9</t>
  </si>
  <si>
    <t>Other cattle classes</t>
  </si>
  <si>
    <t>DMD</t>
  </si>
  <si>
    <t>N*M*D</t>
  </si>
  <si>
    <t>Dj</t>
  </si>
  <si>
    <t>Weaned</t>
  </si>
  <si>
    <t>Pre-weaned</t>
  </si>
  <si>
    <t>weaned</t>
  </si>
  <si>
    <t>L / head / day</t>
  </si>
  <si>
    <t>kg CH4 / head / day</t>
  </si>
  <si>
    <t>A.1.3.5</t>
  </si>
  <si>
    <t>Bulls &lt; 1</t>
  </si>
  <si>
    <t>0.2685 </t>
  </si>
  <si>
    <t>0.3003 </t>
  </si>
  <si>
    <t>CH4</t>
  </si>
  <si>
    <t>VS</t>
  </si>
  <si>
    <t>NPW</t>
  </si>
  <si>
    <t>N*MPW*D</t>
  </si>
  <si>
    <t>Eentericj</t>
  </si>
  <si>
    <t>Baseline</t>
  </si>
  <si>
    <t>Method 1</t>
  </si>
  <si>
    <t>Method 2</t>
  </si>
  <si>
    <t>kg MS/head/day</t>
  </si>
  <si>
    <t>L/head/Day</t>
  </si>
  <si>
    <t>Milk solids, not litres</t>
  </si>
  <si>
    <t>Custom Wj</t>
  </si>
  <si>
    <t>Custom LWGj</t>
  </si>
  <si>
    <t>Custom FCj</t>
  </si>
  <si>
    <t>Custom PCj</t>
  </si>
  <si>
    <t>Custom DMDj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</si>
</sst>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117"/>
  <sheetViews>
    <sheetView tabSelected="1" workbookViewId="0">
      <pane xSplit="4" ySplit="10" topLeftCell="K64" activePane="bottomRight" state="frozenSplit"/>
      <selection pane="topRight" activeCell="M1" sqref="M1"/>
      <selection pane="bottomLeft" activeCell="A25" sqref="A25"/>
      <selection pane="bottomRight" activeCell="N76" sqref="N76"/>
    </sheetView>
  </sheetViews>
  <sheetFormatPr baseColWidth="10" defaultRowHeight="16" x14ac:dyDescent="0.2"/>
  <cols>
    <col min="1" max="1" width="8.1640625" customWidth="1"/>
    <col min="3" max="3" width="16.33203125" customWidth="1"/>
    <col min="4" max="4" width="13.1640625" customWidth="1"/>
    <col min="12" max="13" width="8.33203125" bestFit="1" customWidth="1"/>
    <col min="14" max="14" width="8.33203125" customWidth="1"/>
    <col min="23" max="25" width="8.33203125" customWidth="1"/>
    <col min="29" max="29" width="8.33203125" bestFit="1" customWidth="1"/>
    <col min="30" max="30" width="18.6640625" bestFit="1" customWidth="1"/>
    <col min="31" max="31" width="8.33203125" bestFit="1" customWidth="1"/>
    <col min="38" max="38" width="18.1640625" customWidth="1"/>
  </cols>
  <sheetData>
    <row r="2" spans="1:40" x14ac:dyDescent="0.2">
      <c r="O2" t="s">
        <v>72</v>
      </c>
      <c r="R2" t="s">
        <v>73</v>
      </c>
    </row>
    <row r="5" spans="1:40" x14ac:dyDescent="0.2">
      <c r="O5" t="s">
        <v>1</v>
      </c>
      <c r="P5" t="s">
        <v>2</v>
      </c>
      <c r="Q5" t="s">
        <v>3</v>
      </c>
      <c r="R5" t="s">
        <v>4</v>
      </c>
      <c r="AD5" t="s">
        <v>0</v>
      </c>
      <c r="AG5" t="s">
        <v>5</v>
      </c>
    </row>
    <row r="6" spans="1:40" x14ac:dyDescent="0.2">
      <c r="E6" t="s">
        <v>6</v>
      </c>
      <c r="G6">
        <v>246</v>
      </c>
      <c r="I6">
        <v>247</v>
      </c>
      <c r="K6">
        <v>248</v>
      </c>
      <c r="M6">
        <v>256</v>
      </c>
      <c r="N6">
        <v>244</v>
      </c>
      <c r="O6">
        <v>243</v>
      </c>
      <c r="P6">
        <v>216</v>
      </c>
      <c r="Q6">
        <v>208</v>
      </c>
      <c r="R6" t="s">
        <v>7</v>
      </c>
      <c r="S6" t="s">
        <v>6</v>
      </c>
      <c r="T6" t="s">
        <v>9</v>
      </c>
      <c r="W6">
        <v>251</v>
      </c>
      <c r="Y6">
        <v>252</v>
      </c>
      <c r="Z6">
        <v>259</v>
      </c>
      <c r="AA6">
        <v>258</v>
      </c>
      <c r="AC6">
        <v>250</v>
      </c>
      <c r="AD6" t="s">
        <v>8</v>
      </c>
      <c r="AE6">
        <v>260</v>
      </c>
      <c r="AG6" t="s">
        <v>10</v>
      </c>
    </row>
    <row r="7" spans="1:40" x14ac:dyDescent="0.2">
      <c r="A7" t="s">
        <v>84</v>
      </c>
      <c r="E7" t="s">
        <v>11</v>
      </c>
      <c r="G7" t="s">
        <v>13</v>
      </c>
      <c r="I7" t="s">
        <v>13</v>
      </c>
      <c r="K7" t="s">
        <v>13</v>
      </c>
      <c r="M7" t="s">
        <v>13</v>
      </c>
      <c r="N7" t="s">
        <v>11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13</v>
      </c>
      <c r="W7" t="s">
        <v>13</v>
      </c>
      <c r="Y7" t="s">
        <v>13</v>
      </c>
      <c r="Z7" t="s">
        <v>13</v>
      </c>
      <c r="AA7" t="s">
        <v>13</v>
      </c>
      <c r="AC7" t="s">
        <v>13</v>
      </c>
      <c r="AD7" t="s">
        <v>12</v>
      </c>
      <c r="AE7" t="s">
        <v>13</v>
      </c>
      <c r="AG7" t="s">
        <v>12</v>
      </c>
    </row>
    <row r="8" spans="1:40" x14ac:dyDescent="0.2">
      <c r="A8" t="s">
        <v>85</v>
      </c>
      <c r="G8" t="s">
        <v>11</v>
      </c>
      <c r="I8" t="s">
        <v>11</v>
      </c>
      <c r="K8" t="s">
        <v>11</v>
      </c>
      <c r="W8" t="s">
        <v>11</v>
      </c>
      <c r="Y8" t="s">
        <v>11</v>
      </c>
      <c r="AC8" t="s">
        <v>11</v>
      </c>
      <c r="AL8">
        <v>250</v>
      </c>
      <c r="AM8" t="s">
        <v>66</v>
      </c>
      <c r="AN8">
        <v>0.75</v>
      </c>
    </row>
    <row r="9" spans="1:40" x14ac:dyDescent="0.2">
      <c r="I9" s="1" t="s">
        <v>39</v>
      </c>
      <c r="J9" s="1"/>
      <c r="N9" t="s">
        <v>86</v>
      </c>
      <c r="O9" t="s">
        <v>87</v>
      </c>
      <c r="AL9">
        <v>260</v>
      </c>
      <c r="AM9" t="s">
        <v>20</v>
      </c>
      <c r="AN9">
        <v>0.6</v>
      </c>
    </row>
    <row r="10" spans="1:40" x14ac:dyDescent="0.2">
      <c r="A10" t="s">
        <v>31</v>
      </c>
      <c r="B10" t="s">
        <v>69</v>
      </c>
      <c r="C10" t="s">
        <v>45</v>
      </c>
      <c r="D10" t="s">
        <v>32</v>
      </c>
      <c r="E10" s="3" t="s">
        <v>38</v>
      </c>
      <c r="F10" s="3"/>
      <c r="G10" t="s">
        <v>68</v>
      </c>
      <c r="H10" t="s">
        <v>89</v>
      </c>
      <c r="I10" t="s">
        <v>15</v>
      </c>
      <c r="J10" t="s">
        <v>90</v>
      </c>
      <c r="K10" t="s">
        <v>16</v>
      </c>
      <c r="M10" t="s">
        <v>17</v>
      </c>
      <c r="N10" t="s">
        <v>14</v>
      </c>
      <c r="O10" s="3" t="s">
        <v>25</v>
      </c>
      <c r="P10" t="s">
        <v>26</v>
      </c>
      <c r="Q10" t="s">
        <v>27</v>
      </c>
      <c r="R10" t="s">
        <v>28</v>
      </c>
      <c r="S10" t="s">
        <v>67</v>
      </c>
      <c r="T10" t="s">
        <v>29</v>
      </c>
      <c r="U10" t="s">
        <v>81</v>
      </c>
      <c r="V10" t="s">
        <v>91</v>
      </c>
      <c r="W10" t="s">
        <v>23</v>
      </c>
      <c r="X10" t="s">
        <v>92</v>
      </c>
      <c r="Y10" t="s">
        <v>24</v>
      </c>
      <c r="Z10" t="s">
        <v>21</v>
      </c>
      <c r="AA10" t="s">
        <v>22</v>
      </c>
      <c r="AB10" t="s">
        <v>93</v>
      </c>
      <c r="AC10" t="s">
        <v>18</v>
      </c>
      <c r="AD10" t="s">
        <v>19</v>
      </c>
      <c r="AE10" t="s">
        <v>20</v>
      </c>
      <c r="AF10" t="s">
        <v>82</v>
      </c>
      <c r="AG10" s="4" t="s">
        <v>30</v>
      </c>
      <c r="AL10">
        <v>259</v>
      </c>
      <c r="AM10" t="s">
        <v>21</v>
      </c>
      <c r="AN10">
        <v>18.399999999999999</v>
      </c>
    </row>
    <row r="11" spans="1:40" x14ac:dyDescent="0.2">
      <c r="A11" t="s">
        <v>83</v>
      </c>
      <c r="C11" s="2" t="s">
        <v>48</v>
      </c>
      <c r="D11" t="s">
        <v>33</v>
      </c>
      <c r="E11">
        <v>50</v>
      </c>
      <c r="G11">
        <v>365</v>
      </c>
      <c r="I11">
        <f>VLOOKUP(C11,$AL$18:$AO$27, 2, FALSE)</f>
        <v>550</v>
      </c>
      <c r="K11">
        <f>$AM$36</f>
        <v>1.6E-2</v>
      </c>
      <c r="M11">
        <f>$AM$45</f>
        <v>1.1000000000000001</v>
      </c>
      <c r="O11">
        <v>15</v>
      </c>
      <c r="P11">
        <f>(O11 * 1.03 *AA11) / (Z11 * AE11 * AD11)</f>
        <v>7.1849041227053947</v>
      </c>
      <c r="Q11">
        <f t="shared" ref="Q11:Q17" si="0">(1.185 + 0.00454 *I11- 0.0000026 *I11^2 + 0.315 *K11)^2 *M11 + P11</f>
        <v>16.439349643465398</v>
      </c>
      <c r="R11">
        <f>20.7 * Q11 * 10^-3</f>
        <v>0.34029453761973372</v>
      </c>
      <c r="S11">
        <f>E11*R11*G11</f>
        <v>6210.3753115601403</v>
      </c>
      <c r="W11">
        <f>$AN$12</f>
        <v>4</v>
      </c>
      <c r="Y11">
        <f>$AN$11</f>
        <v>3.3</v>
      </c>
      <c r="Z11">
        <f>$AN$10</f>
        <v>18.399999999999999</v>
      </c>
      <c r="AA11">
        <f>$AN$13</f>
        <v>3.0539999999999998</v>
      </c>
      <c r="AC11">
        <f>$AN$8</f>
        <v>0.75</v>
      </c>
      <c r="AD11">
        <f>0.795 * AC11- 0.0014</f>
        <v>0.5948500000000001</v>
      </c>
      <c r="AE11">
        <f>$AN$9</f>
        <v>0.6</v>
      </c>
      <c r="AF11">
        <f>S11+U11</f>
        <v>6210.3753115601403</v>
      </c>
      <c r="AG11">
        <f>SUM(AF11:AF17)*10^-3</f>
        <v>11.223683133050912</v>
      </c>
      <c r="AM11" t="s">
        <v>24</v>
      </c>
      <c r="AN11">
        <v>3.3</v>
      </c>
    </row>
    <row r="12" spans="1:40" x14ac:dyDescent="0.2">
      <c r="A12">
        <v>2</v>
      </c>
      <c r="D12" t="s">
        <v>34</v>
      </c>
      <c r="E12">
        <v>20</v>
      </c>
      <c r="G12">
        <v>365</v>
      </c>
      <c r="I12">
        <f>VLOOKUP(C11,$AL$18:$AO$27, 3, FALSE)</f>
        <v>380</v>
      </c>
      <c r="K12">
        <f>$AM$37</f>
        <v>0.6</v>
      </c>
      <c r="M12">
        <f t="shared" ref="M12:M17" si="1">$AM$46</f>
        <v>1</v>
      </c>
      <c r="O12">
        <v>0</v>
      </c>
      <c r="P12">
        <v>0</v>
      </c>
      <c r="Q12">
        <f t="shared" si="0"/>
        <v>7.4188685375999972</v>
      </c>
      <c r="R12">
        <f t="shared" ref="R12:R17" si="2">20.7 * Q12 * 10^-3</f>
        <v>0.15357057872831995</v>
      </c>
      <c r="S12">
        <f t="shared" ref="S12:S17" si="3">E12*R12*G12</f>
        <v>1121.0652247167357</v>
      </c>
      <c r="AC12">
        <f t="shared" ref="AC12:AC17" si="4">$AN$8</f>
        <v>0.75</v>
      </c>
      <c r="AF12">
        <f t="shared" ref="AF12:AF17" si="5">S12+U12</f>
        <v>1121.0652247167357</v>
      </c>
      <c r="AM12" t="s">
        <v>23</v>
      </c>
      <c r="AN12">
        <v>4</v>
      </c>
    </row>
    <row r="13" spans="1:40" x14ac:dyDescent="0.2">
      <c r="A13">
        <v>3</v>
      </c>
      <c r="B13" t="s">
        <v>70</v>
      </c>
      <c r="D13" t="s">
        <v>35</v>
      </c>
      <c r="E13">
        <v>10</v>
      </c>
      <c r="G13">
        <v>84</v>
      </c>
      <c r="I13">
        <f>VLOOKUP(C11,$AL$18:$AO$27, 4, FALSE)</f>
        <v>155</v>
      </c>
      <c r="K13">
        <f>$AM$38</f>
        <v>0.56999999999999995</v>
      </c>
      <c r="M13">
        <f t="shared" si="1"/>
        <v>1</v>
      </c>
      <c r="O13">
        <v>0</v>
      </c>
      <c r="P13">
        <v>0</v>
      </c>
      <c r="Q13">
        <f t="shared" si="0"/>
        <v>4.0231734662249998</v>
      </c>
      <c r="T13">
        <f>$AM$50</f>
        <v>1.7600000000000001E-2</v>
      </c>
      <c r="U13">
        <f>E13*T13*G13</f>
        <v>14.784000000000001</v>
      </c>
      <c r="AC13">
        <f t="shared" si="4"/>
        <v>0.75</v>
      </c>
      <c r="AF13">
        <f t="shared" si="5"/>
        <v>14.784000000000001</v>
      </c>
      <c r="AL13">
        <v>257</v>
      </c>
      <c r="AM13" t="s">
        <v>22</v>
      </c>
      <c r="AN13">
        <v>3.0539999999999998</v>
      </c>
    </row>
    <row r="14" spans="1:40" x14ac:dyDescent="0.2">
      <c r="A14">
        <v>3</v>
      </c>
      <c r="B14" t="s">
        <v>71</v>
      </c>
      <c r="D14" t="s">
        <v>35</v>
      </c>
      <c r="E14">
        <v>20</v>
      </c>
      <c r="G14">
        <v>281</v>
      </c>
      <c r="I14">
        <f>VLOOKUP(C11,$AL$18:$AO$27, 4, FALSE)</f>
        <v>155</v>
      </c>
      <c r="K14">
        <f>$AM$38</f>
        <v>0.56999999999999995</v>
      </c>
      <c r="M14">
        <f t="shared" si="1"/>
        <v>1</v>
      </c>
      <c r="O14">
        <v>0</v>
      </c>
      <c r="P14">
        <v>0</v>
      </c>
      <c r="Q14">
        <f t="shared" si="0"/>
        <v>4.0231734662249998</v>
      </c>
      <c r="R14">
        <f t="shared" si="2"/>
        <v>8.3279690750857505E-2</v>
      </c>
      <c r="S14">
        <f t="shared" si="3"/>
        <v>468.03186201981919</v>
      </c>
      <c r="U14">
        <f t="shared" ref="U14:U16" si="6">E14*T14*G14</f>
        <v>0</v>
      </c>
      <c r="AC14">
        <f t="shared" si="4"/>
        <v>0.75</v>
      </c>
      <c r="AF14">
        <f t="shared" si="5"/>
        <v>468.03186201981919</v>
      </c>
    </row>
    <row r="15" spans="1:40" x14ac:dyDescent="0.2">
      <c r="A15">
        <v>4</v>
      </c>
      <c r="D15" t="s">
        <v>36</v>
      </c>
      <c r="E15">
        <v>40</v>
      </c>
      <c r="G15">
        <v>365</v>
      </c>
      <c r="I15">
        <f>$AM$32</f>
        <v>600</v>
      </c>
      <c r="K15">
        <f>$AM$39</f>
        <v>0.1</v>
      </c>
      <c r="M15">
        <f t="shared" si="1"/>
        <v>1</v>
      </c>
      <c r="O15">
        <v>0</v>
      </c>
      <c r="P15">
        <v>0</v>
      </c>
      <c r="Q15">
        <f t="shared" si="0"/>
        <v>9.0270202499999979</v>
      </c>
      <c r="R15">
        <f t="shared" si="2"/>
        <v>0.18685931917499995</v>
      </c>
      <c r="S15">
        <f t="shared" si="3"/>
        <v>2728.1460599549996</v>
      </c>
      <c r="U15">
        <f t="shared" si="6"/>
        <v>0</v>
      </c>
      <c r="AC15">
        <f t="shared" si="4"/>
        <v>0.75</v>
      </c>
      <c r="AF15">
        <f t="shared" si="5"/>
        <v>2728.1460599549996</v>
      </c>
    </row>
    <row r="16" spans="1:40" x14ac:dyDescent="0.2">
      <c r="A16">
        <v>5</v>
      </c>
      <c r="B16" t="s">
        <v>70</v>
      </c>
      <c r="D16" t="s">
        <v>37</v>
      </c>
      <c r="E16">
        <v>30</v>
      </c>
      <c r="G16">
        <v>84</v>
      </c>
      <c r="I16">
        <f>$AN$32</f>
        <v>225</v>
      </c>
      <c r="K16">
        <f>$AM$40</f>
        <v>0.8</v>
      </c>
      <c r="M16">
        <f t="shared" si="1"/>
        <v>1</v>
      </c>
      <c r="O16">
        <v>0</v>
      </c>
      <c r="P16">
        <v>0</v>
      </c>
      <c r="Q16">
        <f t="shared" si="0"/>
        <v>5.4143472656250013</v>
      </c>
      <c r="T16">
        <f>$AM$51</f>
        <v>2.0400000000000001E-2</v>
      </c>
      <c r="U16">
        <f t="shared" si="6"/>
        <v>51.408000000000008</v>
      </c>
      <c r="AC16">
        <f t="shared" si="4"/>
        <v>0.75</v>
      </c>
      <c r="AF16">
        <f t="shared" si="5"/>
        <v>51.408000000000008</v>
      </c>
    </row>
    <row r="17" spans="1:41" x14ac:dyDescent="0.2">
      <c r="A17">
        <v>5</v>
      </c>
      <c r="B17" t="s">
        <v>71</v>
      </c>
      <c r="D17" t="s">
        <v>37</v>
      </c>
      <c r="E17">
        <v>20</v>
      </c>
      <c r="G17">
        <v>281</v>
      </c>
      <c r="I17">
        <f>$AN$32</f>
        <v>225</v>
      </c>
      <c r="K17">
        <f>$AM$40</f>
        <v>0.8</v>
      </c>
      <c r="M17">
        <f t="shared" si="1"/>
        <v>1</v>
      </c>
      <c r="O17">
        <v>0</v>
      </c>
      <c r="P17">
        <v>0</v>
      </c>
      <c r="Q17">
        <f t="shared" si="0"/>
        <v>5.4143472656250013</v>
      </c>
      <c r="R17">
        <f t="shared" si="2"/>
        <v>0.11207698839843752</v>
      </c>
      <c r="S17">
        <f t="shared" si="3"/>
        <v>629.87267479921888</v>
      </c>
      <c r="AC17">
        <f t="shared" si="4"/>
        <v>0.75</v>
      </c>
      <c r="AF17">
        <f t="shared" si="5"/>
        <v>629.87267479921888</v>
      </c>
      <c r="AL17" t="s">
        <v>44</v>
      </c>
      <c r="AM17" t="s">
        <v>33</v>
      </c>
      <c r="AN17" t="s">
        <v>46</v>
      </c>
      <c r="AO17" t="s">
        <v>47</v>
      </c>
    </row>
    <row r="18" spans="1:41" x14ac:dyDescent="0.2">
      <c r="AL18" s="2" t="s">
        <v>48</v>
      </c>
      <c r="AM18" s="2">
        <v>550</v>
      </c>
      <c r="AN18" s="2">
        <v>380</v>
      </c>
      <c r="AO18" s="2">
        <v>155</v>
      </c>
    </row>
    <row r="19" spans="1:41" x14ac:dyDescent="0.2">
      <c r="AL19" s="2" t="s">
        <v>49</v>
      </c>
      <c r="AM19" s="2">
        <v>600</v>
      </c>
      <c r="AN19" s="2">
        <v>415</v>
      </c>
      <c r="AO19" s="2">
        <v>170</v>
      </c>
    </row>
    <row r="20" spans="1:41" x14ac:dyDescent="0.2">
      <c r="AL20" s="2" t="s">
        <v>50</v>
      </c>
      <c r="AM20" s="2">
        <v>650</v>
      </c>
      <c r="AN20" s="2">
        <v>450</v>
      </c>
      <c r="AO20" s="2">
        <v>185</v>
      </c>
    </row>
    <row r="21" spans="1:41" x14ac:dyDescent="0.2">
      <c r="A21" t="s">
        <v>83</v>
      </c>
      <c r="C21" s="2" t="s">
        <v>49</v>
      </c>
      <c r="D21" t="s">
        <v>33</v>
      </c>
      <c r="E21">
        <v>50</v>
      </c>
      <c r="G21">
        <v>365</v>
      </c>
      <c r="I21">
        <f>VLOOKUP(C21,$AL$18:$AO$27, 2, FALSE)</f>
        <v>600</v>
      </c>
      <c r="K21">
        <f>$AM$36</f>
        <v>1.6E-2</v>
      </c>
      <c r="M21">
        <f>$AM$45</f>
        <v>1.1000000000000001</v>
      </c>
      <c r="O21">
        <v>15</v>
      </c>
      <c r="P21">
        <f>(O21 * 1.03 *AA21) / (Z21 * AE21 * AD21)</f>
        <v>7.1849041227053947</v>
      </c>
      <c r="Q21">
        <f t="shared" ref="Q21:Q27" si="7">(1.185 + 0.00454 *I21- 0.0000026 *I21^2 + 0.315 *K21)^2 *M21 + P21</f>
        <v>16.940498588465395</v>
      </c>
      <c r="R21">
        <f>20.7 * Q21 * 10^-3</f>
        <v>0.35066832078123367</v>
      </c>
      <c r="S21">
        <f>E21*R21*G21</f>
        <v>6399.696854257515</v>
      </c>
      <c r="W21">
        <f>$AN$12</f>
        <v>4</v>
      </c>
      <c r="Y21">
        <f>$AN$11</f>
        <v>3.3</v>
      </c>
      <c r="Z21">
        <f>$AN$10</f>
        <v>18.399999999999999</v>
      </c>
      <c r="AA21">
        <f>$AN$13</f>
        <v>3.0539999999999998</v>
      </c>
      <c r="AC21">
        <f>$AN$8</f>
        <v>0.75</v>
      </c>
      <c r="AD21">
        <f>0.795 * AC21- 0.0014</f>
        <v>0.5948500000000001</v>
      </c>
      <c r="AE21">
        <f>$AN$9</f>
        <v>0.6</v>
      </c>
      <c r="AF21">
        <f t="shared" ref="AF21:AF27" si="8">S21+U21</f>
        <v>6399.696854257515</v>
      </c>
      <c r="AG21">
        <f>SUM(AF21:AF27)*10^-3</f>
        <v>11.511609866020031</v>
      </c>
      <c r="AL21" s="2" t="s">
        <v>51</v>
      </c>
      <c r="AM21" s="2">
        <v>500</v>
      </c>
      <c r="AN21" s="2">
        <v>350</v>
      </c>
      <c r="AO21" s="2">
        <v>145</v>
      </c>
    </row>
    <row r="22" spans="1:41" x14ac:dyDescent="0.2">
      <c r="A22">
        <v>2</v>
      </c>
      <c r="D22" t="s">
        <v>34</v>
      </c>
      <c r="E22">
        <v>20</v>
      </c>
      <c r="G22">
        <v>365</v>
      </c>
      <c r="I22">
        <f>VLOOKUP(C21,$AL$18:$AO$27, 3, FALSE)</f>
        <v>415</v>
      </c>
      <c r="K22">
        <f>$AM$37</f>
        <v>0.6</v>
      </c>
      <c r="M22">
        <f t="shared" ref="M22:M27" si="9">$AM$46</f>
        <v>1</v>
      </c>
      <c r="O22">
        <v>0</v>
      </c>
      <c r="P22">
        <v>0</v>
      </c>
      <c r="Q22">
        <f t="shared" si="7"/>
        <v>7.8978703992249981</v>
      </c>
      <c r="R22">
        <f t="shared" ref="R22:R27" si="10">20.7 * Q22 * 10^-3</f>
        <v>0.16348591726395745</v>
      </c>
      <c r="S22">
        <f t="shared" ref="S22:S27" si="11">E22*R22*G22</f>
        <v>1193.4471960268893</v>
      </c>
      <c r="AC22">
        <f t="shared" ref="AC22:AC27" si="12">$AN$8</f>
        <v>0.75</v>
      </c>
      <c r="AF22">
        <f t="shared" si="8"/>
        <v>1193.4471960268893</v>
      </c>
      <c r="AL22" s="2" t="s">
        <v>52</v>
      </c>
      <c r="AM22" s="2">
        <v>400</v>
      </c>
      <c r="AN22" s="2">
        <v>275</v>
      </c>
      <c r="AO22" s="2">
        <v>115</v>
      </c>
    </row>
    <row r="23" spans="1:41" x14ac:dyDescent="0.2">
      <c r="A23">
        <v>3</v>
      </c>
      <c r="B23" t="s">
        <v>70</v>
      </c>
      <c r="D23" t="s">
        <v>35</v>
      </c>
      <c r="E23">
        <v>10</v>
      </c>
      <c r="G23">
        <v>84</v>
      </c>
      <c r="I23">
        <f>VLOOKUP(C21,$AL$18:$AO$27, 4, FALSE)</f>
        <v>170</v>
      </c>
      <c r="K23">
        <f>$AM$38</f>
        <v>0.56999999999999995</v>
      </c>
      <c r="M23">
        <f t="shared" si="9"/>
        <v>1</v>
      </c>
      <c r="O23">
        <v>0</v>
      </c>
      <c r="P23">
        <v>0</v>
      </c>
      <c r="Q23">
        <f t="shared" si="7"/>
        <v>4.2485866641000003</v>
      </c>
      <c r="T23">
        <f>$AM$50</f>
        <v>1.7600000000000001E-2</v>
      </c>
      <c r="U23">
        <f>E23*T23*G23</f>
        <v>14.784000000000001</v>
      </c>
      <c r="AC23">
        <f t="shared" si="12"/>
        <v>0.75</v>
      </c>
      <c r="AF23">
        <f t="shared" si="8"/>
        <v>14.784000000000001</v>
      </c>
      <c r="AL23" s="2" t="s">
        <v>53</v>
      </c>
      <c r="AM23" s="2">
        <v>450</v>
      </c>
      <c r="AN23" s="2">
        <v>315</v>
      </c>
      <c r="AO23" s="2">
        <v>130</v>
      </c>
    </row>
    <row r="24" spans="1:41" x14ac:dyDescent="0.2">
      <c r="A24">
        <v>3</v>
      </c>
      <c r="B24" t="s">
        <v>71</v>
      </c>
      <c r="D24" t="s">
        <v>35</v>
      </c>
      <c r="E24">
        <v>20</v>
      </c>
      <c r="G24">
        <v>281</v>
      </c>
      <c r="I24">
        <f>VLOOKUP(C21,$AL$18:$AO$27, 4, FALSE)</f>
        <v>170</v>
      </c>
      <c r="K24">
        <f>$AM$38</f>
        <v>0.56999999999999995</v>
      </c>
      <c r="M24">
        <f t="shared" si="9"/>
        <v>1</v>
      </c>
      <c r="O24">
        <v>0</v>
      </c>
      <c r="P24">
        <v>0</v>
      </c>
      <c r="Q24">
        <f t="shared" si="7"/>
        <v>4.2485866641000003</v>
      </c>
      <c r="R24">
        <f t="shared" si="10"/>
        <v>8.7945743946870006E-2</v>
      </c>
      <c r="S24">
        <f t="shared" si="11"/>
        <v>494.25508098140944</v>
      </c>
      <c r="U24">
        <f t="shared" ref="U24:U26" si="13">E24*T24*G24</f>
        <v>0</v>
      </c>
      <c r="AC24">
        <f t="shared" si="12"/>
        <v>0.75</v>
      </c>
      <c r="AF24">
        <f t="shared" si="8"/>
        <v>494.25508098140944</v>
      </c>
      <c r="AL24" s="2" t="s">
        <v>54</v>
      </c>
      <c r="AM24" s="2">
        <v>540</v>
      </c>
      <c r="AN24" s="2">
        <v>375</v>
      </c>
      <c r="AO24" s="2">
        <v>150</v>
      </c>
    </row>
    <row r="25" spans="1:41" x14ac:dyDescent="0.2">
      <c r="A25">
        <v>4</v>
      </c>
      <c r="D25" t="s">
        <v>36</v>
      </c>
      <c r="E25">
        <v>40</v>
      </c>
      <c r="G25">
        <v>365</v>
      </c>
      <c r="I25">
        <f>$AM$32</f>
        <v>600</v>
      </c>
      <c r="K25">
        <f>$AM$39</f>
        <v>0.1</v>
      </c>
      <c r="M25">
        <f t="shared" si="9"/>
        <v>1</v>
      </c>
      <c r="O25">
        <v>0</v>
      </c>
      <c r="P25">
        <v>0</v>
      </c>
      <c r="Q25">
        <f t="shared" si="7"/>
        <v>9.0270202499999979</v>
      </c>
      <c r="R25">
        <f t="shared" si="10"/>
        <v>0.18685931917499995</v>
      </c>
      <c r="S25">
        <f t="shared" si="11"/>
        <v>2728.1460599549996</v>
      </c>
      <c r="U25">
        <f t="shared" si="13"/>
        <v>0</v>
      </c>
      <c r="AC25">
        <f t="shared" si="12"/>
        <v>0.75</v>
      </c>
      <c r="AF25">
        <f t="shared" si="8"/>
        <v>2728.1460599549996</v>
      </c>
      <c r="AL25" s="2" t="s">
        <v>55</v>
      </c>
      <c r="AM25" s="2">
        <v>480</v>
      </c>
      <c r="AN25" s="2">
        <v>335</v>
      </c>
      <c r="AO25" s="2">
        <v>140</v>
      </c>
    </row>
    <row r="26" spans="1:41" x14ac:dyDescent="0.2">
      <c r="A26">
        <v>5</v>
      </c>
      <c r="B26" t="s">
        <v>70</v>
      </c>
      <c r="D26" t="s">
        <v>37</v>
      </c>
      <c r="E26">
        <v>30</v>
      </c>
      <c r="G26">
        <v>84</v>
      </c>
      <c r="I26">
        <f>$AN$32</f>
        <v>225</v>
      </c>
      <c r="K26">
        <f>$AM$40</f>
        <v>0.8</v>
      </c>
      <c r="M26">
        <f t="shared" si="9"/>
        <v>1</v>
      </c>
      <c r="O26">
        <v>0</v>
      </c>
      <c r="P26">
        <v>0</v>
      </c>
      <c r="Q26">
        <f t="shared" si="7"/>
        <v>5.4143472656250013</v>
      </c>
      <c r="T26">
        <f>$AM$51</f>
        <v>2.0400000000000001E-2</v>
      </c>
      <c r="U26">
        <f t="shared" si="13"/>
        <v>51.408000000000008</v>
      </c>
      <c r="AC26">
        <f t="shared" si="12"/>
        <v>0.75</v>
      </c>
      <c r="AF26">
        <f t="shared" si="8"/>
        <v>51.408000000000008</v>
      </c>
      <c r="AL26" s="2" t="s">
        <v>56</v>
      </c>
      <c r="AM26" s="2">
        <v>600</v>
      </c>
      <c r="AN26" s="2">
        <v>415</v>
      </c>
      <c r="AO26" s="2">
        <v>170</v>
      </c>
    </row>
    <row r="27" spans="1:41" x14ac:dyDescent="0.2">
      <c r="A27">
        <v>5</v>
      </c>
      <c r="B27" t="s">
        <v>71</v>
      </c>
      <c r="D27" t="s">
        <v>37</v>
      </c>
      <c r="E27">
        <v>20</v>
      </c>
      <c r="G27">
        <v>281</v>
      </c>
      <c r="I27">
        <f>$AN$32</f>
        <v>225</v>
      </c>
      <c r="K27">
        <f>$AM$40</f>
        <v>0.8</v>
      </c>
      <c r="M27">
        <f t="shared" si="9"/>
        <v>1</v>
      </c>
      <c r="O27">
        <v>0</v>
      </c>
      <c r="P27">
        <v>0</v>
      </c>
      <c r="Q27">
        <f t="shared" si="7"/>
        <v>5.4143472656250013</v>
      </c>
      <c r="R27">
        <f t="shared" si="10"/>
        <v>0.11207698839843752</v>
      </c>
      <c r="S27">
        <f t="shared" si="11"/>
        <v>629.87267479921888</v>
      </c>
      <c r="AC27">
        <f t="shared" si="12"/>
        <v>0.75</v>
      </c>
      <c r="AF27">
        <f t="shared" si="8"/>
        <v>629.87267479921888</v>
      </c>
      <c r="AL27" s="2" t="s">
        <v>57</v>
      </c>
      <c r="AM27" s="2">
        <v>550</v>
      </c>
      <c r="AN27" s="2">
        <v>375</v>
      </c>
      <c r="AO27" s="2">
        <v>150</v>
      </c>
    </row>
    <row r="30" spans="1:41" x14ac:dyDescent="0.2">
      <c r="AL30" s="2" t="s">
        <v>43</v>
      </c>
      <c r="AO30" s="2"/>
    </row>
    <row r="31" spans="1:41" x14ac:dyDescent="0.2">
      <c r="A31" t="s">
        <v>83</v>
      </c>
      <c r="C31" s="2" t="s">
        <v>50</v>
      </c>
      <c r="D31" t="s">
        <v>33</v>
      </c>
      <c r="E31">
        <v>50</v>
      </c>
      <c r="G31">
        <v>365</v>
      </c>
      <c r="I31">
        <f>VLOOKUP(C31,$AL$18:$AO$27, 2, FALSE)</f>
        <v>650</v>
      </c>
      <c r="K31">
        <f>$AM$36</f>
        <v>1.6E-2</v>
      </c>
      <c r="M31">
        <f>$AM$45</f>
        <v>1.1000000000000001</v>
      </c>
      <c r="O31">
        <v>15</v>
      </c>
      <c r="P31">
        <f>(O31 * 1.03 *AA31) / (Z31 * AE31 * AD31)</f>
        <v>7.1849041227053947</v>
      </c>
      <c r="Q31">
        <f t="shared" ref="Q31:Q37" si="14">(1.185 + 0.00454 *I31- 0.0000026 *I31^2 + 0.315 *K31)^2 *M31 + P31</f>
        <v>17.367658739465398</v>
      </c>
      <c r="R31">
        <f>20.7 * Q31 * 10^-3</f>
        <v>0.35951053590693377</v>
      </c>
      <c r="S31">
        <f>E31*R31*G31</f>
        <v>6561.0672803015414</v>
      </c>
      <c r="W31">
        <f>$AN$12</f>
        <v>4</v>
      </c>
      <c r="Y31">
        <f>$AN$11</f>
        <v>3.3</v>
      </c>
      <c r="Z31">
        <f>$AN$10</f>
        <v>18.399999999999999</v>
      </c>
      <c r="AA31">
        <f>$AN$13</f>
        <v>3.0539999999999998</v>
      </c>
      <c r="AC31">
        <f>$AN$8</f>
        <v>0.75</v>
      </c>
      <c r="AD31">
        <f>0.795 * AC31- 0.0014</f>
        <v>0.5948500000000001</v>
      </c>
      <c r="AE31">
        <f>$AN$9</f>
        <v>0.6</v>
      </c>
      <c r="AF31">
        <f>S31+U31</f>
        <v>6561.0672803015414</v>
      </c>
      <c r="AG31">
        <f>SUM(AF31:AF37)*10^-3</f>
        <v>11.768417597198876</v>
      </c>
      <c r="AM31" s="2" t="s">
        <v>41</v>
      </c>
      <c r="AN31" s="2" t="s">
        <v>42</v>
      </c>
    </row>
    <row r="32" spans="1:41" x14ac:dyDescent="0.2">
      <c r="A32">
        <v>2</v>
      </c>
      <c r="D32" t="s">
        <v>34</v>
      </c>
      <c r="E32">
        <v>20</v>
      </c>
      <c r="G32">
        <v>365</v>
      </c>
      <c r="I32">
        <f>VLOOKUP(C31,$AL$18:$AO$27, 3, FALSE)</f>
        <v>450</v>
      </c>
      <c r="K32">
        <f>$AM$37</f>
        <v>0.6</v>
      </c>
      <c r="M32">
        <f t="shared" ref="M32:M37" si="15">$AM$46</f>
        <v>1</v>
      </c>
      <c r="O32">
        <v>0</v>
      </c>
      <c r="P32">
        <v>0</v>
      </c>
      <c r="Q32">
        <f t="shared" si="14"/>
        <v>8.3549902499999984</v>
      </c>
      <c r="R32">
        <f t="shared" ref="R32:R37" si="16">20.7 * Q32 * 10^-3</f>
        <v>0.17294829817499996</v>
      </c>
      <c r="S32">
        <f t="shared" ref="S32:S37" si="17">E32*R32*G32</f>
        <v>1262.5225766774997</v>
      </c>
      <c r="AC32">
        <f t="shared" ref="AC32:AC37" si="18">$AN$8</f>
        <v>0.75</v>
      </c>
      <c r="AF32">
        <f t="shared" ref="AF32:AF37" si="19">S32+U32</f>
        <v>1262.5225766774997</v>
      </c>
      <c r="AL32" s="2" t="s">
        <v>40</v>
      </c>
      <c r="AM32">
        <v>600</v>
      </c>
      <c r="AN32">
        <v>225</v>
      </c>
    </row>
    <row r="33" spans="1:42" x14ac:dyDescent="0.2">
      <c r="A33">
        <v>3</v>
      </c>
      <c r="B33" t="s">
        <v>70</v>
      </c>
      <c r="D33" t="s">
        <v>35</v>
      </c>
      <c r="E33">
        <v>10</v>
      </c>
      <c r="G33">
        <v>84</v>
      </c>
      <c r="I33">
        <f>VLOOKUP(C31,$AL$18:$AO$27, 4, FALSE)</f>
        <v>185</v>
      </c>
      <c r="K33">
        <f>$AM$38</f>
        <v>0.56999999999999995</v>
      </c>
      <c r="M33">
        <f t="shared" si="15"/>
        <v>1</v>
      </c>
      <c r="O33">
        <v>0</v>
      </c>
      <c r="P33">
        <v>0</v>
      </c>
      <c r="Q33">
        <f t="shared" si="14"/>
        <v>4.4751921662249998</v>
      </c>
      <c r="T33">
        <f>$AM$50</f>
        <v>1.7600000000000001E-2</v>
      </c>
      <c r="U33">
        <f>E33*T33*G33</f>
        <v>14.784000000000001</v>
      </c>
      <c r="AC33">
        <f t="shared" si="18"/>
        <v>0.75</v>
      </c>
      <c r="AF33">
        <f t="shared" si="19"/>
        <v>14.784000000000001</v>
      </c>
    </row>
    <row r="34" spans="1:42" x14ac:dyDescent="0.2">
      <c r="A34">
        <v>3</v>
      </c>
      <c r="B34" t="s">
        <v>71</v>
      </c>
      <c r="D34" t="s">
        <v>35</v>
      </c>
      <c r="E34">
        <v>20</v>
      </c>
      <c r="G34">
        <v>281</v>
      </c>
      <c r="I34">
        <f>VLOOKUP(C31,$AL$18:$AO$27, 4, FALSE)</f>
        <v>185</v>
      </c>
      <c r="K34">
        <f>$AM$38</f>
        <v>0.56999999999999995</v>
      </c>
      <c r="M34">
        <f t="shared" si="15"/>
        <v>1</v>
      </c>
      <c r="O34">
        <v>0</v>
      </c>
      <c r="P34">
        <v>0</v>
      </c>
      <c r="Q34">
        <f t="shared" si="14"/>
        <v>4.4751921662249998</v>
      </c>
      <c r="R34">
        <f t="shared" si="16"/>
        <v>9.2636477840857503E-2</v>
      </c>
      <c r="S34">
        <f t="shared" si="17"/>
        <v>520.61700546561917</v>
      </c>
      <c r="U34">
        <f t="shared" ref="U34:U36" si="20">E34*T34*G34</f>
        <v>0</v>
      </c>
      <c r="AC34">
        <f t="shared" si="18"/>
        <v>0.75</v>
      </c>
      <c r="AF34">
        <f t="shared" si="19"/>
        <v>520.61700546561917</v>
      </c>
      <c r="AP34" s="2"/>
    </row>
    <row r="35" spans="1:42" x14ac:dyDescent="0.2">
      <c r="A35">
        <v>4</v>
      </c>
      <c r="D35" t="s">
        <v>36</v>
      </c>
      <c r="E35">
        <v>40</v>
      </c>
      <c r="G35">
        <v>365</v>
      </c>
      <c r="I35">
        <f>$AM$32</f>
        <v>600</v>
      </c>
      <c r="K35">
        <f>$AM$39</f>
        <v>0.1</v>
      </c>
      <c r="M35">
        <f t="shared" si="15"/>
        <v>1</v>
      </c>
      <c r="O35">
        <v>0</v>
      </c>
      <c r="P35">
        <v>0</v>
      </c>
      <c r="Q35">
        <f t="shared" si="14"/>
        <v>9.0270202499999979</v>
      </c>
      <c r="R35">
        <f t="shared" si="16"/>
        <v>0.18685931917499995</v>
      </c>
      <c r="S35">
        <f t="shared" si="17"/>
        <v>2728.1460599549996</v>
      </c>
      <c r="U35">
        <f t="shared" si="20"/>
        <v>0</v>
      </c>
      <c r="AC35">
        <f t="shared" si="18"/>
        <v>0.75</v>
      </c>
      <c r="AF35">
        <f t="shared" si="19"/>
        <v>2728.1460599549996</v>
      </c>
      <c r="AM35" t="s">
        <v>62</v>
      </c>
      <c r="AN35" t="s">
        <v>63</v>
      </c>
    </row>
    <row r="36" spans="1:42" x14ac:dyDescent="0.2">
      <c r="A36">
        <v>5</v>
      </c>
      <c r="B36" t="s">
        <v>70</v>
      </c>
      <c r="D36" t="s">
        <v>37</v>
      </c>
      <c r="E36">
        <v>30</v>
      </c>
      <c r="G36">
        <v>84</v>
      </c>
      <c r="I36">
        <f>$AN$32</f>
        <v>225</v>
      </c>
      <c r="K36">
        <f>$AM$40</f>
        <v>0.8</v>
      </c>
      <c r="M36">
        <f t="shared" si="15"/>
        <v>1</v>
      </c>
      <c r="O36">
        <v>0</v>
      </c>
      <c r="P36">
        <v>0</v>
      </c>
      <c r="Q36">
        <f t="shared" si="14"/>
        <v>5.4143472656250013</v>
      </c>
      <c r="T36">
        <f>$AM$51</f>
        <v>2.0400000000000001E-2</v>
      </c>
      <c r="U36">
        <f t="shared" si="20"/>
        <v>51.408000000000008</v>
      </c>
      <c r="AC36">
        <f t="shared" si="18"/>
        <v>0.75</v>
      </c>
      <c r="AF36">
        <f t="shared" si="19"/>
        <v>51.408000000000008</v>
      </c>
      <c r="AL36" s="2" t="s">
        <v>58</v>
      </c>
      <c r="AM36">
        <v>1.6E-2</v>
      </c>
      <c r="AN36">
        <v>590</v>
      </c>
    </row>
    <row r="37" spans="1:42" x14ac:dyDescent="0.2">
      <c r="A37">
        <v>5</v>
      </c>
      <c r="B37" t="s">
        <v>71</v>
      </c>
      <c r="D37" t="s">
        <v>37</v>
      </c>
      <c r="E37">
        <v>20</v>
      </c>
      <c r="G37">
        <v>281</v>
      </c>
      <c r="I37">
        <f>$AN$32</f>
        <v>225</v>
      </c>
      <c r="K37">
        <f>$AM$40</f>
        <v>0.8</v>
      </c>
      <c r="M37">
        <f t="shared" si="15"/>
        <v>1</v>
      </c>
      <c r="O37">
        <v>0</v>
      </c>
      <c r="P37">
        <v>0</v>
      </c>
      <c r="Q37">
        <f t="shared" si="14"/>
        <v>5.4143472656250013</v>
      </c>
      <c r="R37">
        <f t="shared" si="16"/>
        <v>0.11207698839843752</v>
      </c>
      <c r="S37">
        <f t="shared" si="17"/>
        <v>629.87267479921888</v>
      </c>
      <c r="AC37">
        <f t="shared" si="18"/>
        <v>0.75</v>
      </c>
      <c r="AF37">
        <f t="shared" si="19"/>
        <v>629.87267479921888</v>
      </c>
      <c r="AL37" s="2" t="s">
        <v>59</v>
      </c>
      <c r="AM37" s="2">
        <v>0.6</v>
      </c>
      <c r="AN37">
        <v>590</v>
      </c>
    </row>
    <row r="38" spans="1:42" x14ac:dyDescent="0.2">
      <c r="AL38" s="2" t="s">
        <v>61</v>
      </c>
      <c r="AM38" s="2">
        <v>0.56999999999999995</v>
      </c>
      <c r="AN38">
        <v>590</v>
      </c>
    </row>
    <row r="39" spans="1:42" x14ac:dyDescent="0.2">
      <c r="AL39" s="2" t="s">
        <v>60</v>
      </c>
      <c r="AM39" s="2">
        <v>0.1</v>
      </c>
      <c r="AN39">
        <v>770</v>
      </c>
    </row>
    <row r="40" spans="1:42" x14ac:dyDescent="0.2">
      <c r="AL40" s="2" t="s">
        <v>42</v>
      </c>
      <c r="AM40" s="2">
        <v>0.8</v>
      </c>
      <c r="AN40">
        <v>770</v>
      </c>
    </row>
    <row r="41" spans="1:42" x14ac:dyDescent="0.2">
      <c r="A41" t="s">
        <v>88</v>
      </c>
      <c r="C41" s="2" t="s">
        <v>57</v>
      </c>
      <c r="D41" t="s">
        <v>33</v>
      </c>
      <c r="E41">
        <v>50</v>
      </c>
      <c r="G41">
        <v>365</v>
      </c>
      <c r="I41">
        <f>VLOOKUP(C41,$AL$18:$AO$27, 2, FALSE)</f>
        <v>550</v>
      </c>
      <c r="K41">
        <f>$AM$36</f>
        <v>1.6E-2</v>
      </c>
      <c r="M41">
        <f>$AM$45</f>
        <v>1.1000000000000001</v>
      </c>
      <c r="N41">
        <v>2</v>
      </c>
      <c r="O41">
        <f>N41/(0.01 * (W41+Y41))</f>
        <v>27.397260273972606</v>
      </c>
      <c r="P41">
        <f>(O41 * 1.03 *AA41) / (Z41 * AE41 * AD41)</f>
        <v>13.123112552886568</v>
      </c>
      <c r="Q41">
        <f t="shared" ref="Q41:Q47" si="21">(1.185 + 0.00454 *I41- 0.0000026 *I41^2 + 0.315 *K41)^2 *M41 + P41</f>
        <v>22.377558073646568</v>
      </c>
      <c r="R41">
        <f>20.7 * Q41 * 10^-3</f>
        <v>0.46321545212448395</v>
      </c>
      <c r="S41">
        <f>E41*R41*G41</f>
        <v>8453.6820012718308</v>
      </c>
      <c r="W41">
        <f>$AN$12</f>
        <v>4</v>
      </c>
      <c r="Y41">
        <f>$AN$11</f>
        <v>3.3</v>
      </c>
      <c r="Z41">
        <f>$AN$10</f>
        <v>18.399999999999999</v>
      </c>
      <c r="AA41">
        <f>$AN$13</f>
        <v>3.0539999999999998</v>
      </c>
      <c r="AC41">
        <f>$AN$8</f>
        <v>0.75</v>
      </c>
      <c r="AD41">
        <f>0.795 * AC41- 0.0014</f>
        <v>0.5948500000000001</v>
      </c>
      <c r="AE41">
        <f>$AN$9</f>
        <v>0.6</v>
      </c>
      <c r="AF41">
        <f>S41+U41</f>
        <v>8453.6820012718308</v>
      </c>
      <c r="AG41">
        <f>SUM(AF41:AF47)*10^-3</f>
        <v>13.447705850197277</v>
      </c>
    </row>
    <row r="42" spans="1:42" x14ac:dyDescent="0.2">
      <c r="A42">
        <v>2</v>
      </c>
      <c r="D42" t="s">
        <v>34</v>
      </c>
      <c r="E42">
        <v>20</v>
      </c>
      <c r="G42">
        <v>365</v>
      </c>
      <c r="I42">
        <f>VLOOKUP(C41,$AL$18:$AO$27, 3, FALSE)</f>
        <v>375</v>
      </c>
      <c r="K42">
        <f>$AM$37</f>
        <v>0.6</v>
      </c>
      <c r="M42">
        <f t="shared" ref="M42:M47" si="22">$AM$46</f>
        <v>1</v>
      </c>
      <c r="O42">
        <v>0</v>
      </c>
      <c r="P42">
        <v>0</v>
      </c>
      <c r="Q42">
        <f t="shared" si="21"/>
        <v>7.3488432656250007</v>
      </c>
      <c r="R42">
        <f t="shared" ref="R42:R47" si="23">20.7 * Q42 * 10^-3</f>
        <v>0.15212105559843753</v>
      </c>
      <c r="S42">
        <f t="shared" ref="S42:S47" si="24">E42*R42*G42</f>
        <v>1110.4837058685939</v>
      </c>
      <c r="AC42">
        <f t="shared" ref="AC42:AC47" si="25">$AN$8</f>
        <v>0.75</v>
      </c>
      <c r="AF42">
        <f t="shared" ref="AF42:AF47" si="26">S42+U42</f>
        <v>1110.4837058685939</v>
      </c>
    </row>
    <row r="43" spans="1:42" x14ac:dyDescent="0.2">
      <c r="A43">
        <v>3</v>
      </c>
      <c r="B43" t="s">
        <v>70</v>
      </c>
      <c r="D43" t="s">
        <v>35</v>
      </c>
      <c r="E43">
        <v>10</v>
      </c>
      <c r="G43">
        <v>84</v>
      </c>
      <c r="I43">
        <f>VLOOKUP(C41,$AL$18:$AO$27, 4, FALSE)</f>
        <v>150</v>
      </c>
      <c r="K43">
        <f>$AM$38</f>
        <v>0.56999999999999995</v>
      </c>
      <c r="M43">
        <f t="shared" si="22"/>
        <v>1</v>
      </c>
      <c r="O43">
        <v>0</v>
      </c>
      <c r="P43">
        <v>0</v>
      </c>
      <c r="Q43">
        <f t="shared" si="21"/>
        <v>3.9483677025000001</v>
      </c>
      <c r="T43">
        <f>$AM$50</f>
        <v>1.7600000000000001E-2</v>
      </c>
      <c r="U43">
        <f>E43*T43*G43</f>
        <v>14.784000000000001</v>
      </c>
      <c r="AC43">
        <f t="shared" si="25"/>
        <v>0.75</v>
      </c>
      <c r="AF43">
        <f t="shared" si="26"/>
        <v>14.784000000000001</v>
      </c>
      <c r="AL43" s="2" t="s">
        <v>64</v>
      </c>
    </row>
    <row r="44" spans="1:42" x14ac:dyDescent="0.2">
      <c r="A44">
        <v>3</v>
      </c>
      <c r="B44" t="s">
        <v>71</v>
      </c>
      <c r="D44" t="s">
        <v>35</v>
      </c>
      <c r="E44">
        <v>20</v>
      </c>
      <c r="G44">
        <v>281</v>
      </c>
      <c r="I44">
        <f>VLOOKUP(C41,$AL$18:$AO$27, 4, FALSE)</f>
        <v>150</v>
      </c>
      <c r="K44">
        <f>$AM$38</f>
        <v>0.56999999999999995</v>
      </c>
      <c r="M44">
        <f t="shared" si="22"/>
        <v>1</v>
      </c>
      <c r="O44">
        <v>0</v>
      </c>
      <c r="P44">
        <v>0</v>
      </c>
      <c r="Q44">
        <f t="shared" si="21"/>
        <v>3.9483677025000001</v>
      </c>
      <c r="R44">
        <f t="shared" si="23"/>
        <v>8.173121144175001E-2</v>
      </c>
      <c r="S44">
        <f t="shared" si="24"/>
        <v>459.32940830263504</v>
      </c>
      <c r="U44">
        <f t="shared" ref="U44:U46" si="27">E44*T44*G44</f>
        <v>0</v>
      </c>
      <c r="AC44">
        <f t="shared" si="25"/>
        <v>0.75</v>
      </c>
      <c r="AF44">
        <f t="shared" si="26"/>
        <v>459.32940830263504</v>
      </c>
      <c r="AL44" s="2" t="s">
        <v>17</v>
      </c>
    </row>
    <row r="45" spans="1:42" x14ac:dyDescent="0.2">
      <c r="A45">
        <v>4</v>
      </c>
      <c r="D45" t="s">
        <v>36</v>
      </c>
      <c r="E45">
        <v>40</v>
      </c>
      <c r="G45">
        <v>365</v>
      </c>
      <c r="I45">
        <f>$AM$32</f>
        <v>600</v>
      </c>
      <c r="K45">
        <f>$AM$39</f>
        <v>0.1</v>
      </c>
      <c r="M45">
        <f t="shared" si="22"/>
        <v>1</v>
      </c>
      <c r="O45">
        <v>0</v>
      </c>
      <c r="P45">
        <v>0</v>
      </c>
      <c r="Q45">
        <f t="shared" si="21"/>
        <v>9.0270202499999979</v>
      </c>
      <c r="R45">
        <f t="shared" si="23"/>
        <v>0.18685931917499995</v>
      </c>
      <c r="S45">
        <f t="shared" si="24"/>
        <v>2728.1460599549996</v>
      </c>
      <c r="U45">
        <f t="shared" si="27"/>
        <v>0</v>
      </c>
      <c r="AC45">
        <f t="shared" si="25"/>
        <v>0.75</v>
      </c>
      <c r="AF45">
        <f t="shared" si="26"/>
        <v>2728.1460599549996</v>
      </c>
      <c r="AL45" s="2" t="s">
        <v>33</v>
      </c>
      <c r="AM45">
        <v>1.1000000000000001</v>
      </c>
    </row>
    <row r="46" spans="1:42" x14ac:dyDescent="0.2">
      <c r="A46">
        <v>5</v>
      </c>
      <c r="B46" t="s">
        <v>70</v>
      </c>
      <c r="D46" t="s">
        <v>37</v>
      </c>
      <c r="E46">
        <v>30</v>
      </c>
      <c r="G46">
        <v>84</v>
      </c>
      <c r="I46">
        <f>$AN$32</f>
        <v>225</v>
      </c>
      <c r="K46">
        <f>$AM$40</f>
        <v>0.8</v>
      </c>
      <c r="M46">
        <f t="shared" si="22"/>
        <v>1</v>
      </c>
      <c r="O46">
        <v>0</v>
      </c>
      <c r="P46">
        <v>0</v>
      </c>
      <c r="Q46">
        <f t="shared" si="21"/>
        <v>5.4143472656250013</v>
      </c>
      <c r="T46">
        <f>$AM$51</f>
        <v>2.0400000000000001E-2</v>
      </c>
      <c r="U46">
        <f t="shared" si="27"/>
        <v>51.408000000000008</v>
      </c>
      <c r="AC46">
        <f t="shared" si="25"/>
        <v>0.75</v>
      </c>
      <c r="AF46">
        <f t="shared" si="26"/>
        <v>51.408000000000008</v>
      </c>
      <c r="AL46" s="2" t="s">
        <v>65</v>
      </c>
      <c r="AM46">
        <v>1</v>
      </c>
    </row>
    <row r="47" spans="1:42" x14ac:dyDescent="0.2">
      <c r="A47">
        <v>5</v>
      </c>
      <c r="B47" t="s">
        <v>71</v>
      </c>
      <c r="D47" t="s">
        <v>37</v>
      </c>
      <c r="E47">
        <v>20</v>
      </c>
      <c r="G47">
        <v>281</v>
      </c>
      <c r="I47">
        <f>$AN$32</f>
        <v>225</v>
      </c>
      <c r="K47">
        <f>$AM$40</f>
        <v>0.8</v>
      </c>
      <c r="M47">
        <f t="shared" si="22"/>
        <v>1</v>
      </c>
      <c r="O47">
        <v>0</v>
      </c>
      <c r="P47">
        <v>0</v>
      </c>
      <c r="Q47">
        <f t="shared" si="21"/>
        <v>5.4143472656250013</v>
      </c>
      <c r="R47">
        <f t="shared" si="23"/>
        <v>0.11207698839843752</v>
      </c>
      <c r="S47">
        <f t="shared" si="24"/>
        <v>629.87267479921888</v>
      </c>
      <c r="AC47">
        <f t="shared" si="25"/>
        <v>0.75</v>
      </c>
      <c r="AF47">
        <f t="shared" si="26"/>
        <v>629.87267479921888</v>
      </c>
    </row>
    <row r="49" spans="1:41" x14ac:dyDescent="0.2">
      <c r="AL49" s="2" t="s">
        <v>74</v>
      </c>
      <c r="AM49" t="s">
        <v>78</v>
      </c>
      <c r="AN49" t="s">
        <v>79</v>
      </c>
      <c r="AO49" t="s">
        <v>80</v>
      </c>
    </row>
    <row r="50" spans="1:41" x14ac:dyDescent="0.2">
      <c r="AL50" s="2" t="s">
        <v>47</v>
      </c>
      <c r="AM50" s="2">
        <v>1.7600000000000001E-2</v>
      </c>
      <c r="AN50" s="2" t="s">
        <v>76</v>
      </c>
      <c r="AO50" s="2">
        <v>1.37E-2</v>
      </c>
    </row>
    <row r="51" spans="1:41" x14ac:dyDescent="0.2">
      <c r="A51" t="s">
        <v>88</v>
      </c>
      <c r="C51" s="2" t="s">
        <v>55</v>
      </c>
      <c r="D51" t="s">
        <v>33</v>
      </c>
      <c r="E51">
        <v>50</v>
      </c>
      <c r="G51">
        <v>365</v>
      </c>
      <c r="I51">
        <f>VLOOKUP(C51,$AL$18:$AO$27, 2, FALSE)</f>
        <v>480</v>
      </c>
      <c r="K51">
        <f>$AM$36</f>
        <v>1.6E-2</v>
      </c>
      <c r="M51">
        <f>$AM$45</f>
        <v>1.1000000000000001</v>
      </c>
      <c r="O51">
        <v>10</v>
      </c>
      <c r="P51">
        <f>(O51 * 1.03 *AA51) / (Z51 * AE51 * AD51)</f>
        <v>4.7899360818035959</v>
      </c>
      <c r="Q51">
        <f t="shared" ref="Q51:Q57" si="28">(1.185 + 0.00454 *I51- 0.0000026 *I51^2 + 0.315 *K51)^2 *M51 + P51</f>
        <v>13.231344925803597</v>
      </c>
      <c r="R51">
        <f>20.7 * Q51 * 10^-3</f>
        <v>0.27388883996413443</v>
      </c>
      <c r="S51">
        <f>E51*R51*G51</f>
        <v>4998.4713293454533</v>
      </c>
      <c r="W51">
        <f>$AN$12</f>
        <v>4</v>
      </c>
      <c r="Y51">
        <f>$AN$11</f>
        <v>3.3</v>
      </c>
      <c r="Z51">
        <f>$AN$10</f>
        <v>18.399999999999999</v>
      </c>
      <c r="AA51">
        <f>$AN$13</f>
        <v>3.0539999999999998</v>
      </c>
      <c r="AC51">
        <f>$AN$8</f>
        <v>0.75</v>
      </c>
      <c r="AD51">
        <f>0.795 * AC51- 0.0014</f>
        <v>0.5948500000000001</v>
      </c>
      <c r="AE51">
        <f>$AN$9</f>
        <v>0.6</v>
      </c>
      <c r="AF51">
        <f>S51+U51</f>
        <v>4998.4713293454533</v>
      </c>
      <c r="AG51">
        <f>SUM(AF51:AF57)*10^-3</f>
        <v>9.8886274223547375</v>
      </c>
      <c r="AL51" s="2" t="s">
        <v>75</v>
      </c>
      <c r="AM51" s="2">
        <v>2.0400000000000001E-2</v>
      </c>
      <c r="AN51" s="2" t="s">
        <v>77</v>
      </c>
      <c r="AO51" s="2">
        <v>9.1999999999999998E-3</v>
      </c>
    </row>
    <row r="52" spans="1:41" x14ac:dyDescent="0.2">
      <c r="A52">
        <v>2</v>
      </c>
      <c r="D52" t="s">
        <v>34</v>
      </c>
      <c r="E52">
        <v>20</v>
      </c>
      <c r="G52">
        <v>365</v>
      </c>
      <c r="I52">
        <f>VLOOKUP(C51,$AL$18:$AO$27, 3, FALSE)</f>
        <v>335</v>
      </c>
      <c r="K52">
        <f>$AM$37</f>
        <v>0.6</v>
      </c>
      <c r="M52">
        <f t="shared" ref="M52:M57" si="29">$AM$46</f>
        <v>1</v>
      </c>
      <c r="O52">
        <v>0</v>
      </c>
      <c r="P52">
        <v>0</v>
      </c>
      <c r="Q52">
        <f t="shared" si="28"/>
        <v>6.7762077032249994</v>
      </c>
      <c r="R52">
        <f t="shared" ref="R52:R57" si="30">20.7 * Q52 * 10^-3</f>
        <v>0.14026749945675748</v>
      </c>
      <c r="S52">
        <f t="shared" ref="S52:S57" si="31">E52*R52*G52</f>
        <v>1023.9527460343295</v>
      </c>
      <c r="AC52">
        <f t="shared" ref="AC52:AC57" si="32">$AN$8</f>
        <v>0.75</v>
      </c>
      <c r="AF52">
        <f t="shared" ref="AF52:AF57" si="33">S52+U52</f>
        <v>1023.9527460343295</v>
      </c>
    </row>
    <row r="53" spans="1:41" x14ac:dyDescent="0.2">
      <c r="A53">
        <v>3</v>
      </c>
      <c r="B53" t="s">
        <v>70</v>
      </c>
      <c r="D53" t="s">
        <v>35</v>
      </c>
      <c r="E53">
        <v>10</v>
      </c>
      <c r="G53">
        <v>84</v>
      </c>
      <c r="I53">
        <f>VLOOKUP(C51,$AL$18:$AO$27, 4, FALSE)</f>
        <v>140</v>
      </c>
      <c r="K53">
        <f>$AM$38</f>
        <v>0.56999999999999995</v>
      </c>
      <c r="M53">
        <f t="shared" si="29"/>
        <v>1</v>
      </c>
      <c r="O53">
        <v>0</v>
      </c>
      <c r="P53">
        <v>0</v>
      </c>
      <c r="Q53">
        <f t="shared" si="28"/>
        <v>3.7993416560999989</v>
      </c>
      <c r="T53">
        <f>$AM$50</f>
        <v>1.7600000000000001E-2</v>
      </c>
      <c r="U53">
        <f>E53*T53*G53</f>
        <v>14.784000000000001</v>
      </c>
      <c r="AC53">
        <f t="shared" si="32"/>
        <v>0.75</v>
      </c>
      <c r="AF53">
        <f t="shared" si="33"/>
        <v>14.784000000000001</v>
      </c>
    </row>
    <row r="54" spans="1:41" x14ac:dyDescent="0.2">
      <c r="A54">
        <v>3</v>
      </c>
      <c r="B54" t="s">
        <v>71</v>
      </c>
      <c r="D54" t="s">
        <v>35</v>
      </c>
      <c r="E54">
        <v>20</v>
      </c>
      <c r="G54">
        <v>281</v>
      </c>
      <c r="I54">
        <f>VLOOKUP(C51,$AL$18:$AO$27, 4, FALSE)</f>
        <v>140</v>
      </c>
      <c r="K54">
        <f>$AM$38</f>
        <v>0.56999999999999995</v>
      </c>
      <c r="M54">
        <f t="shared" si="29"/>
        <v>1</v>
      </c>
      <c r="O54">
        <v>0</v>
      </c>
      <c r="P54">
        <v>0</v>
      </c>
      <c r="Q54">
        <f t="shared" si="28"/>
        <v>3.7993416560999989</v>
      </c>
      <c r="R54">
        <f t="shared" si="30"/>
        <v>7.8646372281269972E-2</v>
      </c>
      <c r="S54">
        <f t="shared" si="31"/>
        <v>441.99261222073721</v>
      </c>
      <c r="U54">
        <f t="shared" ref="U54:U56" si="34">E54*T54*G54</f>
        <v>0</v>
      </c>
      <c r="AC54">
        <f t="shared" si="32"/>
        <v>0.75</v>
      </c>
      <c r="AF54">
        <f t="shared" si="33"/>
        <v>441.99261222073721</v>
      </c>
    </row>
    <row r="55" spans="1:41" x14ac:dyDescent="0.2">
      <c r="A55">
        <v>4</v>
      </c>
      <c r="D55" t="s">
        <v>36</v>
      </c>
      <c r="E55">
        <v>40</v>
      </c>
      <c r="G55">
        <v>365</v>
      </c>
      <c r="I55">
        <f>$AM$32</f>
        <v>600</v>
      </c>
      <c r="K55">
        <f>$AM$39</f>
        <v>0.1</v>
      </c>
      <c r="M55">
        <f t="shared" si="29"/>
        <v>1</v>
      </c>
      <c r="O55">
        <v>0</v>
      </c>
      <c r="P55">
        <v>0</v>
      </c>
      <c r="Q55">
        <f t="shared" si="28"/>
        <v>9.0270202499999979</v>
      </c>
      <c r="R55">
        <f t="shared" si="30"/>
        <v>0.18685931917499995</v>
      </c>
      <c r="S55">
        <f t="shared" si="31"/>
        <v>2728.1460599549996</v>
      </c>
      <c r="U55">
        <f t="shared" si="34"/>
        <v>0</v>
      </c>
      <c r="AC55">
        <f t="shared" si="32"/>
        <v>0.75</v>
      </c>
      <c r="AF55">
        <f t="shared" si="33"/>
        <v>2728.1460599549996</v>
      </c>
    </row>
    <row r="56" spans="1:41" x14ac:dyDescent="0.2">
      <c r="A56">
        <v>5</v>
      </c>
      <c r="B56" t="s">
        <v>70</v>
      </c>
      <c r="D56" t="s">
        <v>37</v>
      </c>
      <c r="E56">
        <v>30</v>
      </c>
      <c r="G56">
        <v>84</v>
      </c>
      <c r="I56">
        <f>$AN$32</f>
        <v>225</v>
      </c>
      <c r="K56">
        <f>$AM$40</f>
        <v>0.8</v>
      </c>
      <c r="M56">
        <f t="shared" si="29"/>
        <v>1</v>
      </c>
      <c r="O56">
        <v>0</v>
      </c>
      <c r="P56">
        <v>0</v>
      </c>
      <c r="Q56">
        <f t="shared" si="28"/>
        <v>5.4143472656250013</v>
      </c>
      <c r="T56">
        <f>$AM$51</f>
        <v>2.0400000000000001E-2</v>
      </c>
      <c r="U56">
        <f t="shared" si="34"/>
        <v>51.408000000000008</v>
      </c>
      <c r="AC56">
        <f t="shared" si="32"/>
        <v>0.75</v>
      </c>
      <c r="AF56">
        <f t="shared" si="33"/>
        <v>51.408000000000008</v>
      </c>
    </row>
    <row r="57" spans="1:41" x14ac:dyDescent="0.2">
      <c r="A57">
        <v>5</v>
      </c>
      <c r="B57" t="s">
        <v>71</v>
      </c>
      <c r="D57" t="s">
        <v>37</v>
      </c>
      <c r="E57">
        <v>20</v>
      </c>
      <c r="G57">
        <v>281</v>
      </c>
      <c r="I57">
        <f>$AN$32</f>
        <v>225</v>
      </c>
      <c r="K57">
        <f>$AM$40</f>
        <v>0.8</v>
      </c>
      <c r="M57">
        <f t="shared" si="29"/>
        <v>1</v>
      </c>
      <c r="O57">
        <v>0</v>
      </c>
      <c r="P57">
        <v>0</v>
      </c>
      <c r="Q57">
        <f t="shared" si="28"/>
        <v>5.4143472656250013</v>
      </c>
      <c r="R57">
        <f t="shared" si="30"/>
        <v>0.11207698839843752</v>
      </c>
      <c r="S57">
        <f t="shared" si="31"/>
        <v>629.87267479921888</v>
      </c>
      <c r="AC57">
        <f t="shared" si="32"/>
        <v>0.75</v>
      </c>
      <c r="AF57">
        <f t="shared" si="33"/>
        <v>629.87267479921888</v>
      </c>
    </row>
    <row r="71" spans="1:33" x14ac:dyDescent="0.2">
      <c r="A71" t="s">
        <v>83</v>
      </c>
      <c r="C71" s="2" t="s">
        <v>50</v>
      </c>
      <c r="D71" t="s">
        <v>33</v>
      </c>
      <c r="E71">
        <v>50</v>
      </c>
      <c r="F71">
        <v>350</v>
      </c>
      <c r="G71" s="3">
        <v>350</v>
      </c>
      <c r="I71">
        <f>VLOOKUP(C71,$AL$18:$AO$27, 2, FALSE)</f>
        <v>650</v>
      </c>
      <c r="K71">
        <f>$AM$36</f>
        <v>1.6E-2</v>
      </c>
      <c r="M71">
        <f>$AM$45</f>
        <v>1.1000000000000001</v>
      </c>
      <c r="O71">
        <v>15</v>
      </c>
      <c r="P71">
        <f>(O71 * 1.03 *AA71) / (Z71 * AE71 * AD71)</f>
        <v>7.1849041227053947</v>
      </c>
      <c r="Q71">
        <f t="shared" ref="Q71:Q77" si="35">(1.185 + 0.00454 *I71- 0.0000026 *I71^2 + 0.315 *K71)^2 *M71 + P71</f>
        <v>17.367658739465398</v>
      </c>
      <c r="R71">
        <f>20.7 * Q71 * 10^-3</f>
        <v>0.35951053590693377</v>
      </c>
      <c r="S71">
        <f>E71*R71*G71</f>
        <v>6291.4343783713412</v>
      </c>
      <c r="W71">
        <f>$AN$12</f>
        <v>4</v>
      </c>
      <c r="Y71">
        <f>$AN$11</f>
        <v>3.3</v>
      </c>
      <c r="Z71">
        <f>$AN$10</f>
        <v>18.399999999999999</v>
      </c>
      <c r="AA71">
        <f>$AN$13</f>
        <v>3.0539999999999998</v>
      </c>
      <c r="AC71">
        <f>$AN$8</f>
        <v>0.75</v>
      </c>
      <c r="AD71">
        <f>0.795 * AC71- 0.0014</f>
        <v>0.5948500000000001</v>
      </c>
      <c r="AE71">
        <f>$AN$9</f>
        <v>0.6</v>
      </c>
      <c r="AF71">
        <f>S71+U71</f>
        <v>6291.4343783713412</v>
      </c>
      <c r="AG71">
        <f>SUM(AF71:AF77)*10^-3</f>
        <v>11.25040672572282</v>
      </c>
    </row>
    <row r="72" spans="1:33" x14ac:dyDescent="0.2">
      <c r="A72">
        <v>2</v>
      </c>
      <c r="D72" t="s">
        <v>34</v>
      </c>
      <c r="E72">
        <v>20</v>
      </c>
      <c r="F72">
        <v>365</v>
      </c>
      <c r="G72" s="3">
        <v>365</v>
      </c>
      <c r="I72">
        <f>VLOOKUP(C71,$AL$18:$AO$27, 3, FALSE)</f>
        <v>450</v>
      </c>
      <c r="K72">
        <f>$AM$37</f>
        <v>0.6</v>
      </c>
      <c r="M72">
        <f t="shared" ref="M72:M77" si="36">$AM$46</f>
        <v>1</v>
      </c>
      <c r="O72">
        <v>0</v>
      </c>
      <c r="P72">
        <v>0</v>
      </c>
      <c r="Q72">
        <f t="shared" si="35"/>
        <v>8.3549902499999984</v>
      </c>
      <c r="R72">
        <f t="shared" ref="R72:R77" si="37">20.7 * Q72 * 10^-3</f>
        <v>0.17294829817499996</v>
      </c>
      <c r="S72">
        <f t="shared" ref="S72:S77" si="38">E72*R72*G72</f>
        <v>1262.5225766774997</v>
      </c>
      <c r="AC72">
        <f t="shared" ref="AC72:AC77" si="39">$AN$8</f>
        <v>0.75</v>
      </c>
      <c r="AF72">
        <f t="shared" ref="AF72:AF77" si="40">S72+U72</f>
        <v>1262.5225766774997</v>
      </c>
    </row>
    <row r="73" spans="1:33" x14ac:dyDescent="0.2">
      <c r="A73">
        <v>3</v>
      </c>
      <c r="B73" t="s">
        <v>70</v>
      </c>
      <c r="D73" t="s">
        <v>35</v>
      </c>
      <c r="E73">
        <v>10</v>
      </c>
      <c r="F73">
        <v>80</v>
      </c>
      <c r="G73" s="3">
        <v>80</v>
      </c>
      <c r="I73">
        <f>VLOOKUP(C71,$AL$18:$AO$27, 4, FALSE)</f>
        <v>185</v>
      </c>
      <c r="K73">
        <f>$AM$38</f>
        <v>0.56999999999999995</v>
      </c>
      <c r="M73">
        <f t="shared" si="36"/>
        <v>1</v>
      </c>
      <c r="O73">
        <v>0</v>
      </c>
      <c r="P73">
        <v>0</v>
      </c>
      <c r="Q73">
        <f t="shared" si="35"/>
        <v>4.4751921662249998</v>
      </c>
      <c r="T73">
        <f>$AM$50</f>
        <v>1.7600000000000001E-2</v>
      </c>
      <c r="U73">
        <f>E73*T73*G73</f>
        <v>14.080000000000002</v>
      </c>
      <c r="AC73">
        <f t="shared" si="39"/>
        <v>0.75</v>
      </c>
      <c r="AF73">
        <f t="shared" si="40"/>
        <v>14.080000000000002</v>
      </c>
    </row>
    <row r="74" spans="1:33" x14ac:dyDescent="0.2">
      <c r="A74">
        <v>3</v>
      </c>
      <c r="B74" t="s">
        <v>71</v>
      </c>
      <c r="D74" t="s">
        <v>35</v>
      </c>
      <c r="E74">
        <v>20</v>
      </c>
      <c r="F74">
        <v>285</v>
      </c>
      <c r="G74" s="3">
        <v>285</v>
      </c>
      <c r="I74">
        <f>VLOOKUP(C71,$AL$18:$AO$27, 4, FALSE)</f>
        <v>185</v>
      </c>
      <c r="K74">
        <f>$AM$38</f>
        <v>0.56999999999999995</v>
      </c>
      <c r="M74">
        <f t="shared" si="36"/>
        <v>1</v>
      </c>
      <c r="O74">
        <v>0</v>
      </c>
      <c r="P74">
        <v>0</v>
      </c>
      <c r="Q74">
        <f t="shared" si="35"/>
        <v>4.4751921662249998</v>
      </c>
      <c r="R74">
        <f t="shared" si="37"/>
        <v>9.2636477840857503E-2</v>
      </c>
      <c r="S74">
        <f t="shared" si="38"/>
        <v>528.02792369288773</v>
      </c>
      <c r="U74">
        <f t="shared" ref="U74:U76" si="41">E74*T74*G74</f>
        <v>0</v>
      </c>
      <c r="AC74">
        <f t="shared" si="39"/>
        <v>0.75</v>
      </c>
      <c r="AF74">
        <f t="shared" si="40"/>
        <v>528.02792369288773</v>
      </c>
    </row>
    <row r="75" spans="1:33" x14ac:dyDescent="0.2">
      <c r="A75">
        <v>4</v>
      </c>
      <c r="D75" t="s">
        <v>36</v>
      </c>
      <c r="E75">
        <v>40</v>
      </c>
      <c r="F75">
        <v>330</v>
      </c>
      <c r="G75" s="3">
        <v>330</v>
      </c>
      <c r="I75">
        <f>$AM$32</f>
        <v>600</v>
      </c>
      <c r="K75">
        <f>$AM$39</f>
        <v>0.1</v>
      </c>
      <c r="M75">
        <f t="shared" si="36"/>
        <v>1</v>
      </c>
      <c r="O75">
        <v>0</v>
      </c>
      <c r="P75">
        <v>0</v>
      </c>
      <c r="Q75">
        <f t="shared" si="35"/>
        <v>9.0270202499999979</v>
      </c>
      <c r="R75">
        <f t="shared" si="37"/>
        <v>0.18685931917499995</v>
      </c>
      <c r="S75">
        <f t="shared" si="38"/>
        <v>2466.5430131099993</v>
      </c>
      <c r="U75">
        <f t="shared" si="41"/>
        <v>0</v>
      </c>
      <c r="AC75">
        <f t="shared" si="39"/>
        <v>0.75</v>
      </c>
      <c r="AF75">
        <f t="shared" si="40"/>
        <v>2466.5430131099993</v>
      </c>
    </row>
    <row r="76" spans="1:33" x14ac:dyDescent="0.2">
      <c r="A76">
        <v>5</v>
      </c>
      <c r="B76" t="s">
        <v>70</v>
      </c>
      <c r="D76" t="s">
        <v>37</v>
      </c>
      <c r="E76">
        <v>30</v>
      </c>
      <c r="F76">
        <v>80</v>
      </c>
      <c r="G76" s="3">
        <v>80</v>
      </c>
      <c r="I76">
        <f>$AN$32</f>
        <v>225</v>
      </c>
      <c r="K76">
        <f>$AM$40</f>
        <v>0.8</v>
      </c>
      <c r="M76">
        <f t="shared" si="36"/>
        <v>1</v>
      </c>
      <c r="O76">
        <v>0</v>
      </c>
      <c r="P76">
        <v>0</v>
      </c>
      <c r="Q76">
        <f t="shared" si="35"/>
        <v>5.4143472656250013</v>
      </c>
      <c r="T76">
        <f>$AM$51</f>
        <v>2.0400000000000001E-2</v>
      </c>
      <c r="U76">
        <f t="shared" si="41"/>
        <v>48.960000000000008</v>
      </c>
      <c r="AC76">
        <f t="shared" si="39"/>
        <v>0.75</v>
      </c>
      <c r="AF76">
        <f t="shared" si="40"/>
        <v>48.960000000000008</v>
      </c>
    </row>
    <row r="77" spans="1:33" x14ac:dyDescent="0.2">
      <c r="A77">
        <v>5</v>
      </c>
      <c r="B77" t="s">
        <v>71</v>
      </c>
      <c r="D77" t="s">
        <v>37</v>
      </c>
      <c r="E77">
        <v>20</v>
      </c>
      <c r="F77">
        <v>285</v>
      </c>
      <c r="G77" s="3">
        <v>285</v>
      </c>
      <c r="I77">
        <f>$AN$32</f>
        <v>225</v>
      </c>
      <c r="K77">
        <f>$AM$40</f>
        <v>0.8</v>
      </c>
      <c r="M77">
        <f t="shared" si="36"/>
        <v>1</v>
      </c>
      <c r="O77">
        <v>0</v>
      </c>
      <c r="P77">
        <v>0</v>
      </c>
      <c r="Q77">
        <f t="shared" si="35"/>
        <v>5.4143472656250013</v>
      </c>
      <c r="R77">
        <f t="shared" si="37"/>
        <v>0.11207698839843752</v>
      </c>
      <c r="S77">
        <f t="shared" si="38"/>
        <v>638.83883387109381</v>
      </c>
      <c r="AC77">
        <f t="shared" si="39"/>
        <v>0.75</v>
      </c>
      <c r="AF77">
        <f t="shared" si="40"/>
        <v>638.83883387109381</v>
      </c>
    </row>
    <row r="81" spans="1:33" x14ac:dyDescent="0.2">
      <c r="A81" t="s">
        <v>83</v>
      </c>
      <c r="C81" s="2" t="s">
        <v>50</v>
      </c>
      <c r="D81" t="s">
        <v>33</v>
      </c>
      <c r="E81">
        <v>50</v>
      </c>
      <c r="G81">
        <v>365</v>
      </c>
      <c r="H81">
        <v>620</v>
      </c>
      <c r="I81" s="3">
        <v>620</v>
      </c>
      <c r="K81">
        <f>$AM$36</f>
        <v>1.6E-2</v>
      </c>
      <c r="M81">
        <f>$AM$45</f>
        <v>1.1000000000000001</v>
      </c>
      <c r="O81">
        <v>15</v>
      </c>
      <c r="P81">
        <f>(O81 * 1.03 *AA81) / (Z81 * AE81 * AD81)</f>
        <v>7.1849041227053947</v>
      </c>
      <c r="Q81">
        <f t="shared" ref="Q81:Q87" si="42">(1.185 + 0.00454 *I81- 0.0000026 *I81^2 + 0.315 *K81)^2 *M81 + P81</f>
        <v>17.120576198705397</v>
      </c>
      <c r="R81">
        <f>20.7 * Q81 * 10^-3</f>
        <v>0.35439592731320169</v>
      </c>
      <c r="S81">
        <f>E81*R81*G81</f>
        <v>6467.7256734659304</v>
      </c>
      <c r="W81">
        <f>$AN$12</f>
        <v>4</v>
      </c>
      <c r="Y81">
        <f>$AN$11</f>
        <v>3.3</v>
      </c>
      <c r="Z81">
        <f>$AN$10</f>
        <v>18.399999999999999</v>
      </c>
      <c r="AA81">
        <f>$AN$13</f>
        <v>3.0539999999999998</v>
      </c>
      <c r="AC81">
        <f>$AN$8</f>
        <v>0.75</v>
      </c>
      <c r="AD81">
        <f>0.795 * AC81- 0.0014</f>
        <v>0.5948500000000001</v>
      </c>
      <c r="AE81">
        <f>$AN$9</f>
        <v>0.6</v>
      </c>
      <c r="AF81">
        <f>S81+U81</f>
        <v>6467.7256734659304</v>
      </c>
      <c r="AG81">
        <f>SUM(AF81:AF87)*10^-3</f>
        <v>11.508309552978126</v>
      </c>
    </row>
    <row r="82" spans="1:33" x14ac:dyDescent="0.2">
      <c r="A82">
        <v>2</v>
      </c>
      <c r="D82" t="s">
        <v>34</v>
      </c>
      <c r="E82">
        <v>20</v>
      </c>
      <c r="G82">
        <v>365</v>
      </c>
      <c r="H82">
        <v>440</v>
      </c>
      <c r="I82" s="3">
        <v>440</v>
      </c>
      <c r="K82">
        <f>$AM$37</f>
        <v>0.6</v>
      </c>
      <c r="M82">
        <f t="shared" ref="M82:M87" si="43">$AM$46</f>
        <v>1</v>
      </c>
      <c r="O82">
        <v>0</v>
      </c>
      <c r="P82">
        <v>0</v>
      </c>
      <c r="Q82">
        <f t="shared" si="42"/>
        <v>8.2268006975999999</v>
      </c>
      <c r="R82">
        <f t="shared" ref="R82:R87" si="44">20.7 * Q82 * 10^-3</f>
        <v>0.17029477444032001</v>
      </c>
      <c r="S82">
        <f t="shared" ref="S82:S87" si="45">E82*R82*G82</f>
        <v>1243.1518534143361</v>
      </c>
      <c r="AC82">
        <f t="shared" ref="AC82:AC87" si="46">$AN$8</f>
        <v>0.75</v>
      </c>
      <c r="AF82">
        <f t="shared" ref="AF82:AF87" si="47">S82+U82</f>
        <v>1243.1518534143361</v>
      </c>
    </row>
    <row r="83" spans="1:33" x14ac:dyDescent="0.2">
      <c r="A83">
        <v>3</v>
      </c>
      <c r="B83" t="s">
        <v>70</v>
      </c>
      <c r="D83" t="s">
        <v>35</v>
      </c>
      <c r="E83">
        <v>10</v>
      </c>
      <c r="G83">
        <v>84</v>
      </c>
      <c r="H83">
        <v>170</v>
      </c>
      <c r="I83" s="3">
        <v>170</v>
      </c>
      <c r="K83">
        <f>$AM$38</f>
        <v>0.56999999999999995</v>
      </c>
      <c r="M83">
        <f t="shared" si="43"/>
        <v>1</v>
      </c>
      <c r="O83">
        <v>0</v>
      </c>
      <c r="P83">
        <v>0</v>
      </c>
      <c r="Q83">
        <f t="shared" si="42"/>
        <v>4.2485866641000003</v>
      </c>
      <c r="T83">
        <f>$AM$50</f>
        <v>1.7600000000000001E-2</v>
      </c>
      <c r="U83">
        <f>E83*T83*G83</f>
        <v>14.784000000000001</v>
      </c>
      <c r="AC83">
        <f t="shared" si="46"/>
        <v>0.75</v>
      </c>
      <c r="AF83">
        <f t="shared" si="47"/>
        <v>14.784000000000001</v>
      </c>
    </row>
    <row r="84" spans="1:33" x14ac:dyDescent="0.2">
      <c r="A84">
        <v>3</v>
      </c>
      <c r="B84" t="s">
        <v>71</v>
      </c>
      <c r="D84" t="s">
        <v>35</v>
      </c>
      <c r="E84">
        <v>20</v>
      </c>
      <c r="G84">
        <v>281</v>
      </c>
      <c r="H84">
        <v>175</v>
      </c>
      <c r="I84" s="3">
        <v>175</v>
      </c>
      <c r="K84">
        <f>$AM$38</f>
        <v>0.56999999999999995</v>
      </c>
      <c r="M84">
        <f t="shared" si="43"/>
        <v>1</v>
      </c>
      <c r="O84">
        <v>0</v>
      </c>
      <c r="P84">
        <v>0</v>
      </c>
      <c r="Q84">
        <f t="shared" si="42"/>
        <v>4.3240083306250003</v>
      </c>
      <c r="R84">
        <f t="shared" si="44"/>
        <v>8.9506972443937502E-2</v>
      </c>
      <c r="S84">
        <f t="shared" si="45"/>
        <v>503.02918513492875</v>
      </c>
      <c r="U84">
        <f t="shared" ref="U84:U86" si="48">E84*T84*G84</f>
        <v>0</v>
      </c>
      <c r="AC84">
        <f t="shared" si="46"/>
        <v>0.75</v>
      </c>
      <c r="AF84">
        <f t="shared" si="47"/>
        <v>503.02918513492875</v>
      </c>
    </row>
    <row r="85" spans="1:33" x14ac:dyDescent="0.2">
      <c r="A85">
        <v>4</v>
      </c>
      <c r="D85" t="s">
        <v>36</v>
      </c>
      <c r="E85">
        <v>40</v>
      </c>
      <c r="G85">
        <v>365</v>
      </c>
      <c r="H85">
        <v>550</v>
      </c>
      <c r="I85" s="3">
        <v>550</v>
      </c>
      <c r="K85">
        <f>$AM$39</f>
        <v>0.1</v>
      </c>
      <c r="M85">
        <f t="shared" si="43"/>
        <v>1</v>
      </c>
      <c r="O85">
        <v>0</v>
      </c>
      <c r="P85">
        <v>0</v>
      </c>
      <c r="Q85">
        <f t="shared" si="42"/>
        <v>8.5673290000000009</v>
      </c>
      <c r="R85">
        <f t="shared" si="44"/>
        <v>0.17734371030000001</v>
      </c>
      <c r="S85">
        <f t="shared" si="45"/>
        <v>2589.2181703800002</v>
      </c>
      <c r="U85">
        <f t="shared" si="48"/>
        <v>0</v>
      </c>
      <c r="AC85">
        <f t="shared" si="46"/>
        <v>0.75</v>
      </c>
      <c r="AF85">
        <f t="shared" si="47"/>
        <v>2589.2181703800002</v>
      </c>
    </row>
    <row r="86" spans="1:33" x14ac:dyDescent="0.2">
      <c r="A86">
        <v>5</v>
      </c>
      <c r="B86" t="s">
        <v>70</v>
      </c>
      <c r="D86" t="s">
        <v>37</v>
      </c>
      <c r="E86">
        <v>30</v>
      </c>
      <c r="G86">
        <v>84</v>
      </c>
      <c r="H86">
        <v>220</v>
      </c>
      <c r="I86" s="3">
        <v>220</v>
      </c>
      <c r="K86">
        <f>$AM$40</f>
        <v>0.8</v>
      </c>
      <c r="M86">
        <f t="shared" si="43"/>
        <v>1</v>
      </c>
      <c r="O86">
        <v>0</v>
      </c>
      <c r="P86">
        <v>0</v>
      </c>
      <c r="Q86">
        <f t="shared" si="42"/>
        <v>5.3359152015999971</v>
      </c>
      <c r="T86">
        <f>$AM$51</f>
        <v>2.0400000000000001E-2</v>
      </c>
      <c r="U86">
        <f t="shared" si="48"/>
        <v>51.408000000000008</v>
      </c>
      <c r="AC86">
        <f t="shared" si="46"/>
        <v>0.75</v>
      </c>
      <c r="AF86">
        <f t="shared" si="47"/>
        <v>51.408000000000008</v>
      </c>
    </row>
    <row r="87" spans="1:33" x14ac:dyDescent="0.2">
      <c r="A87">
        <v>5</v>
      </c>
      <c r="B87" t="s">
        <v>71</v>
      </c>
      <c r="D87" t="s">
        <v>37</v>
      </c>
      <c r="E87">
        <v>20</v>
      </c>
      <c r="G87">
        <v>281</v>
      </c>
      <c r="H87">
        <v>230</v>
      </c>
      <c r="I87" s="3">
        <v>230</v>
      </c>
      <c r="K87">
        <f>$AM$40</f>
        <v>0.8</v>
      </c>
      <c r="M87">
        <f t="shared" si="43"/>
        <v>1</v>
      </c>
      <c r="O87">
        <v>0</v>
      </c>
      <c r="P87">
        <v>0</v>
      </c>
      <c r="Q87">
        <f t="shared" si="42"/>
        <v>5.4927421955999991</v>
      </c>
      <c r="R87">
        <f t="shared" si="44"/>
        <v>0.11369976344891998</v>
      </c>
      <c r="S87">
        <f t="shared" si="45"/>
        <v>638.99267058293037</v>
      </c>
      <c r="AC87">
        <f t="shared" si="46"/>
        <v>0.75</v>
      </c>
      <c r="AF87">
        <f t="shared" si="47"/>
        <v>638.99267058293037</v>
      </c>
    </row>
    <row r="91" spans="1:33" x14ac:dyDescent="0.2">
      <c r="A91" t="s">
        <v>83</v>
      </c>
      <c r="C91" s="2" t="s">
        <v>50</v>
      </c>
      <c r="D91" t="s">
        <v>33</v>
      </c>
      <c r="E91">
        <v>50</v>
      </c>
      <c r="G91">
        <v>365</v>
      </c>
      <c r="I91">
        <f>VLOOKUP(C91,$AL$18:$AO$27, 2, FALSE)</f>
        <v>650</v>
      </c>
      <c r="J91">
        <v>0</v>
      </c>
      <c r="K91" s="3">
        <v>0</v>
      </c>
      <c r="M91">
        <f>$AM$45</f>
        <v>1.1000000000000001</v>
      </c>
      <c r="O91">
        <v>15</v>
      </c>
      <c r="P91">
        <f>(O91 * 1.03 *AA91) / (Z91 * AE91 * AD91)</f>
        <v>7.1849041227053947</v>
      </c>
      <c r="Q91">
        <f t="shared" ref="Q91:Q97" si="49">(1.185 + 0.00454 *I91- 0.0000026 *I91^2 + 0.315 *K91)^2 *M91 + P91</f>
        <v>17.333950997705397</v>
      </c>
      <c r="R91">
        <f>20.7 * Q91 * 10^-3</f>
        <v>0.35881278565250169</v>
      </c>
      <c r="S91">
        <f>E91*R91*G91</f>
        <v>6548.333338158156</v>
      </c>
      <c r="W91">
        <f>$AN$12</f>
        <v>4</v>
      </c>
      <c r="Y91">
        <f>$AN$11</f>
        <v>3.3</v>
      </c>
      <c r="Z91">
        <f>$AN$10</f>
        <v>18.399999999999999</v>
      </c>
      <c r="AA91">
        <f>$AN$13</f>
        <v>3.0539999999999998</v>
      </c>
      <c r="AC91">
        <f>$AN$8</f>
        <v>0.75</v>
      </c>
      <c r="AD91">
        <f>0.795 * AC91- 0.0014</f>
        <v>0.5948500000000001</v>
      </c>
      <c r="AE91">
        <f>$AN$9</f>
        <v>0.6</v>
      </c>
      <c r="AF91">
        <f>S91+U91</f>
        <v>6548.333338158156</v>
      </c>
      <c r="AG91">
        <f>SUM(AF91:AF97)*10^-3</f>
        <v>11.433635655160135</v>
      </c>
    </row>
    <row r="92" spans="1:33" x14ac:dyDescent="0.2">
      <c r="A92">
        <v>2</v>
      </c>
      <c r="D92" t="s">
        <v>34</v>
      </c>
      <c r="E92">
        <v>20</v>
      </c>
      <c r="G92">
        <v>365</v>
      </c>
      <c r="I92">
        <f>VLOOKUP(C91,$AL$18:$AO$27, 3, FALSE)</f>
        <v>450</v>
      </c>
      <c r="J92">
        <v>0.2</v>
      </c>
      <c r="K92" s="3">
        <v>0.2</v>
      </c>
      <c r="M92">
        <f t="shared" ref="M92:M97" si="50">$AM$46</f>
        <v>1</v>
      </c>
      <c r="O92">
        <v>0</v>
      </c>
      <c r="P92">
        <v>0</v>
      </c>
      <c r="Q92">
        <f t="shared" si="49"/>
        <v>7.6424602500000001</v>
      </c>
      <c r="R92">
        <f t="shared" ref="R92:R97" si="51">20.7 * Q92 * 10^-3</f>
        <v>0.158198927175</v>
      </c>
      <c r="S92">
        <f t="shared" ref="S92:S97" si="52">E92*R92*G92</f>
        <v>1154.8521683775</v>
      </c>
      <c r="AC92">
        <f t="shared" ref="AC92:AC97" si="53">$AN$8</f>
        <v>0.75</v>
      </c>
      <c r="AF92">
        <f t="shared" ref="AF92:AF97" si="54">S92+U92</f>
        <v>1154.8521683775</v>
      </c>
    </row>
    <row r="93" spans="1:33" x14ac:dyDescent="0.2">
      <c r="A93">
        <v>3</v>
      </c>
      <c r="B93" t="s">
        <v>70</v>
      </c>
      <c r="D93" t="s">
        <v>35</v>
      </c>
      <c r="E93">
        <v>10</v>
      </c>
      <c r="G93">
        <v>84</v>
      </c>
      <c r="I93">
        <f>VLOOKUP(C91,$AL$18:$AO$27, 4, FALSE)</f>
        <v>185</v>
      </c>
      <c r="J93">
        <v>-0.1</v>
      </c>
      <c r="K93" s="3">
        <v>-0.1</v>
      </c>
      <c r="M93">
        <f t="shared" si="50"/>
        <v>1</v>
      </c>
      <c r="O93">
        <v>0</v>
      </c>
      <c r="P93">
        <v>0</v>
      </c>
      <c r="Q93">
        <f t="shared" si="49"/>
        <v>3.626796492225</v>
      </c>
      <c r="T93">
        <f>$AM$50</f>
        <v>1.7600000000000001E-2</v>
      </c>
      <c r="U93">
        <f>E93*T93*G93</f>
        <v>14.784000000000001</v>
      </c>
      <c r="AC93">
        <f t="shared" si="53"/>
        <v>0.75</v>
      </c>
      <c r="AF93">
        <f t="shared" si="54"/>
        <v>14.784000000000001</v>
      </c>
    </row>
    <row r="94" spans="1:33" x14ac:dyDescent="0.2">
      <c r="A94">
        <v>3</v>
      </c>
      <c r="B94" t="s">
        <v>71</v>
      </c>
      <c r="D94" t="s">
        <v>35</v>
      </c>
      <c r="E94">
        <v>20</v>
      </c>
      <c r="G94">
        <v>281</v>
      </c>
      <c r="I94">
        <f>VLOOKUP(C91,$AL$18:$AO$27, 4, FALSE)</f>
        <v>185</v>
      </c>
      <c r="J94">
        <v>0.6</v>
      </c>
      <c r="K94" s="3">
        <v>0.6</v>
      </c>
      <c r="M94">
        <f t="shared" si="50"/>
        <v>1</v>
      </c>
      <c r="O94">
        <v>0</v>
      </c>
      <c r="P94">
        <v>0</v>
      </c>
      <c r="Q94">
        <f t="shared" si="49"/>
        <v>4.5152637572250001</v>
      </c>
      <c r="R94">
        <f t="shared" si="51"/>
        <v>9.3465959774557503E-2</v>
      </c>
      <c r="S94">
        <f t="shared" si="52"/>
        <v>525.27869393301319</v>
      </c>
      <c r="U94">
        <f t="shared" ref="U94:U96" si="55">E94*T94*G94</f>
        <v>0</v>
      </c>
      <c r="AC94">
        <f t="shared" si="53"/>
        <v>0.75</v>
      </c>
      <c r="AF94">
        <f t="shared" si="54"/>
        <v>525.27869393301319</v>
      </c>
    </row>
    <row r="95" spans="1:33" x14ac:dyDescent="0.2">
      <c r="A95">
        <v>4</v>
      </c>
      <c r="D95" t="s">
        <v>36</v>
      </c>
      <c r="E95">
        <v>40</v>
      </c>
      <c r="G95">
        <v>365</v>
      </c>
      <c r="I95">
        <f>$AM$32</f>
        <v>600</v>
      </c>
      <c r="J95">
        <v>-0.2</v>
      </c>
      <c r="K95" s="3">
        <v>-0.2</v>
      </c>
      <c r="M95">
        <f t="shared" si="50"/>
        <v>1</v>
      </c>
      <c r="O95">
        <v>0</v>
      </c>
      <c r="P95">
        <v>0</v>
      </c>
      <c r="Q95">
        <f t="shared" si="49"/>
        <v>8.468099999999998</v>
      </c>
      <c r="R95">
        <f t="shared" si="51"/>
        <v>0.17528966999999995</v>
      </c>
      <c r="S95">
        <f t="shared" si="52"/>
        <v>2559.2291819999991</v>
      </c>
      <c r="U95">
        <f t="shared" si="55"/>
        <v>0</v>
      </c>
      <c r="AC95">
        <f t="shared" si="53"/>
        <v>0.75</v>
      </c>
      <c r="AF95">
        <f t="shared" si="54"/>
        <v>2559.2291819999991</v>
      </c>
    </row>
    <row r="96" spans="1:33" x14ac:dyDescent="0.2">
      <c r="A96">
        <v>5</v>
      </c>
      <c r="B96" t="s">
        <v>70</v>
      </c>
      <c r="D96" t="s">
        <v>37</v>
      </c>
      <c r="E96">
        <v>30</v>
      </c>
      <c r="G96">
        <v>84</v>
      </c>
      <c r="I96">
        <f>$AN$32</f>
        <v>225</v>
      </c>
      <c r="J96">
        <v>1</v>
      </c>
      <c r="K96" s="3">
        <v>1</v>
      </c>
      <c r="M96">
        <f t="shared" si="50"/>
        <v>1</v>
      </c>
      <c r="O96">
        <v>0</v>
      </c>
      <c r="P96">
        <v>0</v>
      </c>
      <c r="Q96">
        <f t="shared" si="49"/>
        <v>5.7115025156249999</v>
      </c>
      <c r="T96">
        <f>$AM$51</f>
        <v>2.0400000000000001E-2</v>
      </c>
      <c r="U96">
        <f t="shared" si="55"/>
        <v>51.408000000000008</v>
      </c>
      <c r="AC96">
        <f t="shared" si="53"/>
        <v>0.75</v>
      </c>
      <c r="AF96">
        <f t="shared" si="54"/>
        <v>51.408000000000008</v>
      </c>
    </row>
    <row r="97" spans="1:33" x14ac:dyDescent="0.2">
      <c r="A97">
        <v>5</v>
      </c>
      <c r="B97" t="s">
        <v>71</v>
      </c>
      <c r="D97" t="s">
        <v>37</v>
      </c>
      <c r="E97">
        <v>20</v>
      </c>
      <c r="G97">
        <v>281</v>
      </c>
      <c r="I97">
        <f>$AN$32</f>
        <v>225</v>
      </c>
      <c r="J97">
        <v>0.5</v>
      </c>
      <c r="K97" s="3">
        <v>0.5</v>
      </c>
      <c r="M97">
        <f t="shared" si="50"/>
        <v>1</v>
      </c>
      <c r="O97">
        <v>0</v>
      </c>
      <c r="P97">
        <v>0</v>
      </c>
      <c r="Q97">
        <f t="shared" si="49"/>
        <v>4.9834981406250014</v>
      </c>
      <c r="R97">
        <f t="shared" si="51"/>
        <v>0.10315841151093753</v>
      </c>
      <c r="S97">
        <f t="shared" si="52"/>
        <v>579.75027269146904</v>
      </c>
      <c r="AC97">
        <f t="shared" si="53"/>
        <v>0.75</v>
      </c>
      <c r="AF97">
        <f t="shared" si="54"/>
        <v>579.75027269146904</v>
      </c>
    </row>
    <row r="101" spans="1:33" x14ac:dyDescent="0.2">
      <c r="A101" t="s">
        <v>88</v>
      </c>
      <c r="C101" s="2" t="s">
        <v>57</v>
      </c>
      <c r="D101" t="s">
        <v>33</v>
      </c>
      <c r="E101">
        <v>50</v>
      </c>
      <c r="G101">
        <v>365</v>
      </c>
      <c r="I101">
        <f>VLOOKUP(C101,$AL$18:$AO$27, 2, FALSE)</f>
        <v>550</v>
      </c>
      <c r="K101">
        <f>$AM$36</f>
        <v>1.6E-2</v>
      </c>
      <c r="M101">
        <f>$AM$45</f>
        <v>1.1000000000000001</v>
      </c>
      <c r="N101" s="3">
        <v>1.5</v>
      </c>
      <c r="O101">
        <f>N101/(0.01 * (W101+Y101))</f>
        <v>24.193548387096772</v>
      </c>
      <c r="P101">
        <f>(O101 * 1.03 *AA101) / (Z101 * AE101 * AD101)</f>
        <v>11.588555036621603</v>
      </c>
      <c r="Q101">
        <f t="shared" ref="Q101:Q107" si="56">(1.185 + 0.00454 *I101- 0.0000026 *I101^2 + 0.315 *K101)^2 *M101 + P101</f>
        <v>20.843000557381608</v>
      </c>
      <c r="R101">
        <f>20.7 * Q101 * 10^-3</f>
        <v>0.43145011153779927</v>
      </c>
      <c r="S101">
        <f>E101*R101*G101</f>
        <v>7873.9645355648363</v>
      </c>
      <c r="V101" s="3">
        <v>3.5</v>
      </c>
      <c r="W101" s="3">
        <v>3.5</v>
      </c>
      <c r="X101" s="3">
        <v>2.7</v>
      </c>
      <c r="Y101" s="3">
        <v>2.7</v>
      </c>
      <c r="Z101">
        <f>$AN$10</f>
        <v>18.399999999999999</v>
      </c>
      <c r="AA101">
        <f>$AN$13</f>
        <v>3.0539999999999998</v>
      </c>
      <c r="AC101">
        <f>$AN$8</f>
        <v>0.75</v>
      </c>
      <c r="AD101">
        <f>0.795 * AC101- 0.0014</f>
        <v>0.5948500000000001</v>
      </c>
      <c r="AE101">
        <f>$AN$9</f>
        <v>0.6</v>
      </c>
      <c r="AF101">
        <f>S101+U101</f>
        <v>7873.9645355648363</v>
      </c>
      <c r="AG101">
        <f>SUM(AF101:AF107)*10^-3</f>
        <v>12.867988384490284</v>
      </c>
    </row>
    <row r="102" spans="1:33" x14ac:dyDescent="0.2">
      <c r="A102">
        <v>2</v>
      </c>
      <c r="D102" t="s">
        <v>34</v>
      </c>
      <c r="E102">
        <v>20</v>
      </c>
      <c r="G102">
        <v>365</v>
      </c>
      <c r="I102">
        <f>VLOOKUP(C101,$AL$18:$AO$27, 3, FALSE)</f>
        <v>375</v>
      </c>
      <c r="K102">
        <f>$AM$37</f>
        <v>0.6</v>
      </c>
      <c r="M102">
        <f t="shared" ref="M102:M107" si="57">$AM$46</f>
        <v>1</v>
      </c>
      <c r="O102">
        <v>0</v>
      </c>
      <c r="P102">
        <v>0</v>
      </c>
      <c r="Q102">
        <f t="shared" si="56"/>
        <v>7.3488432656250007</v>
      </c>
      <c r="R102">
        <f t="shared" ref="R102:R107" si="58">20.7 * Q102 * 10^-3</f>
        <v>0.15212105559843753</v>
      </c>
      <c r="S102">
        <f t="shared" ref="S102:S107" si="59">E102*R102*G102</f>
        <v>1110.4837058685939</v>
      </c>
      <c r="AC102">
        <f t="shared" ref="AC102:AC107" si="60">$AN$8</f>
        <v>0.75</v>
      </c>
      <c r="AF102">
        <f t="shared" ref="AF102:AF107" si="61">S102+U102</f>
        <v>1110.4837058685939</v>
      </c>
    </row>
    <row r="103" spans="1:33" x14ac:dyDescent="0.2">
      <c r="A103">
        <v>3</v>
      </c>
      <c r="B103" t="s">
        <v>70</v>
      </c>
      <c r="D103" t="s">
        <v>35</v>
      </c>
      <c r="E103">
        <v>10</v>
      </c>
      <c r="G103">
        <v>84</v>
      </c>
      <c r="I103">
        <f>VLOOKUP(C101,$AL$18:$AO$27, 4, FALSE)</f>
        <v>150</v>
      </c>
      <c r="K103">
        <f>$AM$38</f>
        <v>0.56999999999999995</v>
      </c>
      <c r="M103">
        <f t="shared" si="57"/>
        <v>1</v>
      </c>
      <c r="O103">
        <v>0</v>
      </c>
      <c r="P103">
        <v>0</v>
      </c>
      <c r="Q103">
        <f t="shared" si="56"/>
        <v>3.9483677025000001</v>
      </c>
      <c r="T103">
        <f>$AM$50</f>
        <v>1.7600000000000001E-2</v>
      </c>
      <c r="U103">
        <f>E103*T103*G103</f>
        <v>14.784000000000001</v>
      </c>
      <c r="AC103">
        <f t="shared" si="60"/>
        <v>0.75</v>
      </c>
      <c r="AF103">
        <f t="shared" si="61"/>
        <v>14.784000000000001</v>
      </c>
    </row>
    <row r="104" spans="1:33" x14ac:dyDescent="0.2">
      <c r="A104">
        <v>3</v>
      </c>
      <c r="B104" t="s">
        <v>71</v>
      </c>
      <c r="D104" t="s">
        <v>35</v>
      </c>
      <c r="E104">
        <v>20</v>
      </c>
      <c r="G104">
        <v>281</v>
      </c>
      <c r="I104">
        <f>VLOOKUP(C101,$AL$18:$AO$27, 4, FALSE)</f>
        <v>150</v>
      </c>
      <c r="K104">
        <f>$AM$38</f>
        <v>0.56999999999999995</v>
      </c>
      <c r="M104">
        <f t="shared" si="57"/>
        <v>1</v>
      </c>
      <c r="O104">
        <v>0</v>
      </c>
      <c r="P104">
        <v>0</v>
      </c>
      <c r="Q104">
        <f t="shared" si="56"/>
        <v>3.9483677025000001</v>
      </c>
      <c r="R104">
        <f t="shared" si="58"/>
        <v>8.173121144175001E-2</v>
      </c>
      <c r="S104">
        <f t="shared" si="59"/>
        <v>459.32940830263504</v>
      </c>
      <c r="U104">
        <f t="shared" ref="U104:U106" si="62">E104*T104*G104</f>
        <v>0</v>
      </c>
      <c r="AC104">
        <f t="shared" si="60"/>
        <v>0.75</v>
      </c>
      <c r="AF104">
        <f t="shared" si="61"/>
        <v>459.32940830263504</v>
      </c>
    </row>
    <row r="105" spans="1:33" x14ac:dyDescent="0.2">
      <c r="A105">
        <v>4</v>
      </c>
      <c r="D105" t="s">
        <v>36</v>
      </c>
      <c r="E105">
        <v>40</v>
      </c>
      <c r="G105">
        <v>365</v>
      </c>
      <c r="I105">
        <f>$AM$32</f>
        <v>600</v>
      </c>
      <c r="K105">
        <f>$AM$39</f>
        <v>0.1</v>
      </c>
      <c r="M105">
        <f t="shared" si="57"/>
        <v>1</v>
      </c>
      <c r="O105">
        <v>0</v>
      </c>
      <c r="P105">
        <v>0</v>
      </c>
      <c r="Q105">
        <f t="shared" si="56"/>
        <v>9.0270202499999979</v>
      </c>
      <c r="R105">
        <f t="shared" si="58"/>
        <v>0.18685931917499995</v>
      </c>
      <c r="S105">
        <f t="shared" si="59"/>
        <v>2728.1460599549996</v>
      </c>
      <c r="U105">
        <f t="shared" si="62"/>
        <v>0</v>
      </c>
      <c r="AC105">
        <f t="shared" si="60"/>
        <v>0.75</v>
      </c>
      <c r="AF105">
        <f t="shared" si="61"/>
        <v>2728.1460599549996</v>
      </c>
    </row>
    <row r="106" spans="1:33" x14ac:dyDescent="0.2">
      <c r="A106">
        <v>5</v>
      </c>
      <c r="B106" t="s">
        <v>70</v>
      </c>
      <c r="D106" t="s">
        <v>37</v>
      </c>
      <c r="E106">
        <v>30</v>
      </c>
      <c r="G106">
        <v>84</v>
      </c>
      <c r="I106">
        <f>$AN$32</f>
        <v>225</v>
      </c>
      <c r="K106">
        <f>$AM$40</f>
        <v>0.8</v>
      </c>
      <c r="M106">
        <f t="shared" si="57"/>
        <v>1</v>
      </c>
      <c r="O106">
        <v>0</v>
      </c>
      <c r="P106">
        <v>0</v>
      </c>
      <c r="Q106">
        <f t="shared" si="56"/>
        <v>5.4143472656250013</v>
      </c>
      <c r="T106">
        <f>$AM$51</f>
        <v>2.0400000000000001E-2</v>
      </c>
      <c r="U106">
        <f t="shared" si="62"/>
        <v>51.408000000000008</v>
      </c>
      <c r="AC106">
        <f t="shared" si="60"/>
        <v>0.75</v>
      </c>
      <c r="AF106">
        <f t="shared" si="61"/>
        <v>51.408000000000008</v>
      </c>
    </row>
    <row r="107" spans="1:33" x14ac:dyDescent="0.2">
      <c r="A107">
        <v>5</v>
      </c>
      <c r="B107" t="s">
        <v>71</v>
      </c>
      <c r="D107" t="s">
        <v>37</v>
      </c>
      <c r="E107">
        <v>20</v>
      </c>
      <c r="G107">
        <v>281</v>
      </c>
      <c r="I107">
        <f>$AN$32</f>
        <v>225</v>
      </c>
      <c r="K107">
        <f>$AM$40</f>
        <v>0.8</v>
      </c>
      <c r="M107">
        <f t="shared" si="57"/>
        <v>1</v>
      </c>
      <c r="O107">
        <v>0</v>
      </c>
      <c r="P107">
        <v>0</v>
      </c>
      <c r="Q107">
        <f t="shared" si="56"/>
        <v>5.4143472656250013</v>
      </c>
      <c r="R107">
        <f t="shared" si="58"/>
        <v>0.11207698839843752</v>
      </c>
      <c r="S107">
        <f t="shared" si="59"/>
        <v>629.87267479921888</v>
      </c>
      <c r="AC107">
        <f t="shared" si="60"/>
        <v>0.75</v>
      </c>
      <c r="AF107">
        <f t="shared" si="61"/>
        <v>629.87267479921888</v>
      </c>
    </row>
    <row r="111" spans="1:33" x14ac:dyDescent="0.2">
      <c r="A111" t="s">
        <v>88</v>
      </c>
      <c r="C111" s="2" t="s">
        <v>54</v>
      </c>
      <c r="D111" t="s">
        <v>33</v>
      </c>
      <c r="E111">
        <v>50</v>
      </c>
      <c r="G111">
        <v>365</v>
      </c>
      <c r="I111">
        <f>VLOOKUP(C111,$AL$18:$AO$27, 2, FALSE)</f>
        <v>540</v>
      </c>
      <c r="K111">
        <f>$AM$36</f>
        <v>1.6E-2</v>
      </c>
      <c r="M111">
        <f>$AM$45</f>
        <v>1.1000000000000001</v>
      </c>
      <c r="O111">
        <v>12</v>
      </c>
      <c r="P111">
        <f>(O111 * 1.03 *AA111) / (Z111 * AE111 * AD111)</f>
        <v>3.3128109426538548</v>
      </c>
      <c r="Q111">
        <f t="shared" ref="Q111:Q117" si="63">(1.185 + 0.00454 *I111- 0.0000026 *I111^2 + 0.315 *K111)^2 *M111 + P111</f>
        <v>12.458713544093856</v>
      </c>
      <c r="R111">
        <f>20.7 * Q111 * 10^-3</f>
        <v>0.25789537036274285</v>
      </c>
      <c r="S111">
        <f>E111*R111*G111</f>
        <v>4706.5905091200575</v>
      </c>
      <c r="W111">
        <f>$AN$12</f>
        <v>4</v>
      </c>
      <c r="Y111">
        <f>$AN$11</f>
        <v>3.3</v>
      </c>
      <c r="Z111">
        <f>$AN$10</f>
        <v>18.399999999999999</v>
      </c>
      <c r="AA111">
        <f>$AN$13</f>
        <v>3.0539999999999998</v>
      </c>
      <c r="AB111" s="3">
        <v>1.3</v>
      </c>
      <c r="AC111" s="3">
        <v>1.3</v>
      </c>
      <c r="AD111">
        <f>0.795 * AC111- 0.0014</f>
        <v>1.0321</v>
      </c>
      <c r="AE111">
        <f>$AN$9</f>
        <v>0.6</v>
      </c>
      <c r="AF111">
        <f>S111+U111</f>
        <v>4706.5905091200575</v>
      </c>
      <c r="AG111">
        <f>SUM(AF111:AF117)*10^-3</f>
        <v>9.7006143580455042</v>
      </c>
    </row>
    <row r="112" spans="1:33" x14ac:dyDescent="0.2">
      <c r="A112">
        <v>2</v>
      </c>
      <c r="C112" s="2"/>
      <c r="D112" t="s">
        <v>34</v>
      </c>
      <c r="E112">
        <v>20</v>
      </c>
      <c r="G112">
        <v>365</v>
      </c>
      <c r="I112">
        <f>VLOOKUP(C111,$AL$18:$AO$27, 3, FALSE)</f>
        <v>375</v>
      </c>
      <c r="K112">
        <f>$AM$37</f>
        <v>0.6</v>
      </c>
      <c r="M112">
        <f t="shared" ref="M112:M117" si="64">$AM$46</f>
        <v>1</v>
      </c>
      <c r="O112">
        <v>0</v>
      </c>
      <c r="P112">
        <v>0</v>
      </c>
      <c r="Q112">
        <f t="shared" si="63"/>
        <v>7.3488432656250007</v>
      </c>
      <c r="R112">
        <f t="shared" ref="R112:R117" si="65">20.7 * Q112 * 10^-3</f>
        <v>0.15212105559843753</v>
      </c>
      <c r="S112">
        <f t="shared" ref="S112:S117" si="66">E112*R112*G112</f>
        <v>1110.4837058685939</v>
      </c>
      <c r="AB112" s="3">
        <v>1.3</v>
      </c>
      <c r="AC112" s="3">
        <v>1.3</v>
      </c>
      <c r="AF112">
        <f t="shared" ref="AF112:AF117" si="67">S112+U112</f>
        <v>1110.4837058685939</v>
      </c>
    </row>
    <row r="113" spans="1:32" x14ac:dyDescent="0.2">
      <c r="A113">
        <v>3</v>
      </c>
      <c r="B113" t="s">
        <v>70</v>
      </c>
      <c r="D113" t="s">
        <v>35</v>
      </c>
      <c r="E113">
        <v>10</v>
      </c>
      <c r="G113">
        <v>84</v>
      </c>
      <c r="I113">
        <f>VLOOKUP(C111,$AL$18:$AO$27, 4, FALSE)</f>
        <v>150</v>
      </c>
      <c r="K113">
        <f>$AM$38</f>
        <v>0.56999999999999995</v>
      </c>
      <c r="M113">
        <f t="shared" si="64"/>
        <v>1</v>
      </c>
      <c r="O113">
        <v>0</v>
      </c>
      <c r="P113">
        <v>0</v>
      </c>
      <c r="Q113">
        <f t="shared" si="63"/>
        <v>3.9483677025000001</v>
      </c>
      <c r="T113">
        <f>$AM$50</f>
        <v>1.7600000000000001E-2</v>
      </c>
      <c r="U113">
        <f>E113*T113*G113</f>
        <v>14.784000000000001</v>
      </c>
      <c r="AB113" s="3">
        <v>1.3</v>
      </c>
      <c r="AC113" s="3">
        <v>1.3</v>
      </c>
      <c r="AF113">
        <f t="shared" si="67"/>
        <v>14.784000000000001</v>
      </c>
    </row>
    <row r="114" spans="1:32" x14ac:dyDescent="0.2">
      <c r="A114">
        <v>3</v>
      </c>
      <c r="B114" t="s">
        <v>71</v>
      </c>
      <c r="D114" t="s">
        <v>35</v>
      </c>
      <c r="E114">
        <v>20</v>
      </c>
      <c r="G114">
        <v>281</v>
      </c>
      <c r="I114">
        <f>VLOOKUP(C111,$AL$18:$AO$27, 4, FALSE)</f>
        <v>150</v>
      </c>
      <c r="K114">
        <f>$AM$38</f>
        <v>0.56999999999999995</v>
      </c>
      <c r="M114">
        <f t="shared" si="64"/>
        <v>1</v>
      </c>
      <c r="O114">
        <v>0</v>
      </c>
      <c r="P114">
        <v>0</v>
      </c>
      <c r="Q114">
        <f t="shared" si="63"/>
        <v>3.9483677025000001</v>
      </c>
      <c r="R114">
        <f t="shared" si="65"/>
        <v>8.173121144175001E-2</v>
      </c>
      <c r="S114">
        <f t="shared" si="66"/>
        <v>459.32940830263504</v>
      </c>
      <c r="U114">
        <f t="shared" ref="U114:U116" si="68">E114*T114*G114</f>
        <v>0</v>
      </c>
      <c r="AB114" s="3">
        <v>1.3</v>
      </c>
      <c r="AC114" s="3">
        <v>1.3</v>
      </c>
      <c r="AF114">
        <f t="shared" si="67"/>
        <v>459.32940830263504</v>
      </c>
    </row>
    <row r="115" spans="1:32" x14ac:dyDescent="0.2">
      <c r="A115">
        <v>4</v>
      </c>
      <c r="D115" t="s">
        <v>36</v>
      </c>
      <c r="E115">
        <v>40</v>
      </c>
      <c r="G115">
        <v>365</v>
      </c>
      <c r="I115">
        <f>$AM$32</f>
        <v>600</v>
      </c>
      <c r="K115">
        <f>$AM$39</f>
        <v>0.1</v>
      </c>
      <c r="M115">
        <f t="shared" si="64"/>
        <v>1</v>
      </c>
      <c r="O115">
        <v>0</v>
      </c>
      <c r="P115">
        <v>0</v>
      </c>
      <c r="Q115">
        <f t="shared" si="63"/>
        <v>9.0270202499999979</v>
      </c>
      <c r="R115">
        <f t="shared" si="65"/>
        <v>0.18685931917499995</v>
      </c>
      <c r="S115">
        <f t="shared" si="66"/>
        <v>2728.1460599549996</v>
      </c>
      <c r="U115">
        <f t="shared" si="68"/>
        <v>0</v>
      </c>
      <c r="AB115" s="3">
        <v>1.3</v>
      </c>
      <c r="AC115" s="3">
        <v>1.3</v>
      </c>
      <c r="AF115">
        <f t="shared" si="67"/>
        <v>2728.1460599549996</v>
      </c>
    </row>
    <row r="116" spans="1:32" x14ac:dyDescent="0.2">
      <c r="A116">
        <v>5</v>
      </c>
      <c r="B116" t="s">
        <v>70</v>
      </c>
      <c r="D116" t="s">
        <v>37</v>
      </c>
      <c r="E116">
        <v>30</v>
      </c>
      <c r="G116">
        <v>84</v>
      </c>
      <c r="I116">
        <f>$AN$32</f>
        <v>225</v>
      </c>
      <c r="K116">
        <f>$AM$40</f>
        <v>0.8</v>
      </c>
      <c r="M116">
        <f t="shared" si="64"/>
        <v>1</v>
      </c>
      <c r="O116">
        <v>0</v>
      </c>
      <c r="P116">
        <v>0</v>
      </c>
      <c r="Q116">
        <f t="shared" si="63"/>
        <v>5.4143472656250013</v>
      </c>
      <c r="T116">
        <f>$AM$51</f>
        <v>2.0400000000000001E-2</v>
      </c>
      <c r="U116">
        <f t="shared" si="68"/>
        <v>51.408000000000008</v>
      </c>
      <c r="AB116" s="3">
        <v>1.3</v>
      </c>
      <c r="AC116" s="3">
        <v>1.3</v>
      </c>
      <c r="AF116">
        <f t="shared" si="67"/>
        <v>51.408000000000008</v>
      </c>
    </row>
    <row r="117" spans="1:32" x14ac:dyDescent="0.2">
      <c r="A117">
        <v>5</v>
      </c>
      <c r="B117" t="s">
        <v>71</v>
      </c>
      <c r="D117" t="s">
        <v>37</v>
      </c>
      <c r="E117">
        <v>20</v>
      </c>
      <c r="G117">
        <v>281</v>
      </c>
      <c r="I117">
        <f>$AN$32</f>
        <v>225</v>
      </c>
      <c r="K117">
        <f>$AM$40</f>
        <v>0.8</v>
      </c>
      <c r="M117">
        <f t="shared" si="64"/>
        <v>1</v>
      </c>
      <c r="O117">
        <v>0</v>
      </c>
      <c r="P117">
        <v>0</v>
      </c>
      <c r="Q117">
        <f t="shared" si="63"/>
        <v>5.4143472656250013</v>
      </c>
      <c r="R117">
        <f t="shared" si="65"/>
        <v>0.11207698839843752</v>
      </c>
      <c r="S117">
        <f t="shared" si="66"/>
        <v>629.87267479921888</v>
      </c>
      <c r="AB117" s="3">
        <v>1.3</v>
      </c>
      <c r="AC117" s="3">
        <v>1.3</v>
      </c>
      <c r="AF117">
        <f t="shared" si="67"/>
        <v>629.87267479921888</v>
      </c>
    </row>
  </sheetData>
  <pageMargins left="0.7" right="0.7" top="0.75" bottom="0.75" header="0.3" footer="0.3"/>
  <ignoredErrors>
    <ignoredError sqref="Z5 AF5:AG5 AC7:AE7 AC5:AE5 AD11 AD6 AC9:AE10 AD8:AE8 S5 S6 AG6:AG10 S8:S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3.3.1.1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2026-04-14T00:57:16Z</dcterms:created>
  <dcterms:modified xsi:type="dcterms:W3CDTF">2026-08-13T06:19:07Z</dcterms:modified>
</cp:coreProperties>
</file>