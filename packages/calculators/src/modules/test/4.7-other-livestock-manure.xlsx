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A18BA794-E060-B44A-AED9-B7FC81B81AA7}" xr6:coauthVersionLast="47" xr6:coauthVersionMax="47" xr10:uidLastSave="{00000000-0000-0000-0000-000000000000}"/>
  <bookViews>
    <workbookView xWindow="51200" yWindow="-2420" windowWidth="28800" windowHeight="25760" xr2:uid="{5678E890-3691-CF46-80E7-00FB1F103661}"/>
  </bookViews>
  <sheets>
    <sheet name="4.7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" i="1" l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11" i="1"/>
  <c r="X42" i="1" l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41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Z60" i="1"/>
  <c r="V60" i="1"/>
  <c r="U60" i="1"/>
  <c r="T60" i="1"/>
  <c r="R60" i="1"/>
  <c r="Q60" i="1"/>
  <c r="P60" i="1"/>
  <c r="N60" i="1"/>
  <c r="M60" i="1" s="1"/>
  <c r="K60" i="1"/>
  <c r="Z59" i="1"/>
  <c r="V59" i="1"/>
  <c r="U59" i="1"/>
  <c r="T59" i="1"/>
  <c r="R59" i="1"/>
  <c r="Q59" i="1"/>
  <c r="P59" i="1"/>
  <c r="N59" i="1"/>
  <c r="M59" i="1" s="1"/>
  <c r="K59" i="1"/>
  <c r="Z58" i="1"/>
  <c r="V58" i="1"/>
  <c r="U58" i="1"/>
  <c r="T58" i="1"/>
  <c r="R58" i="1"/>
  <c r="Q58" i="1"/>
  <c r="P58" i="1"/>
  <c r="N58" i="1"/>
  <c r="M58" i="1" s="1"/>
  <c r="K58" i="1"/>
  <c r="Z57" i="1"/>
  <c r="V57" i="1"/>
  <c r="U57" i="1"/>
  <c r="T57" i="1"/>
  <c r="R57" i="1"/>
  <c r="Q57" i="1"/>
  <c r="P57" i="1"/>
  <c r="N57" i="1"/>
  <c r="M57" i="1" s="1"/>
  <c r="K57" i="1"/>
  <c r="Z56" i="1"/>
  <c r="V56" i="1"/>
  <c r="U56" i="1"/>
  <c r="T56" i="1"/>
  <c r="R56" i="1"/>
  <c r="Q56" i="1"/>
  <c r="P56" i="1"/>
  <c r="N56" i="1"/>
  <c r="M56" i="1" s="1"/>
  <c r="K56" i="1"/>
  <c r="Z55" i="1"/>
  <c r="V55" i="1"/>
  <c r="U55" i="1"/>
  <c r="T55" i="1"/>
  <c r="R55" i="1"/>
  <c r="Q55" i="1"/>
  <c r="P55" i="1"/>
  <c r="N55" i="1"/>
  <c r="M55" i="1" s="1"/>
  <c r="K55" i="1"/>
  <c r="Z54" i="1"/>
  <c r="V54" i="1"/>
  <c r="U54" i="1"/>
  <c r="T54" i="1"/>
  <c r="R54" i="1"/>
  <c r="Q54" i="1"/>
  <c r="P54" i="1"/>
  <c r="N54" i="1"/>
  <c r="M54" i="1" s="1"/>
  <c r="K54" i="1"/>
  <c r="Z53" i="1"/>
  <c r="V53" i="1"/>
  <c r="U53" i="1"/>
  <c r="T53" i="1"/>
  <c r="R53" i="1"/>
  <c r="Q53" i="1"/>
  <c r="P53" i="1"/>
  <c r="N53" i="1"/>
  <c r="M53" i="1" s="1"/>
  <c r="K53" i="1"/>
  <c r="Z52" i="1"/>
  <c r="V52" i="1"/>
  <c r="U52" i="1"/>
  <c r="T52" i="1"/>
  <c r="R52" i="1"/>
  <c r="Q52" i="1"/>
  <c r="P52" i="1"/>
  <c r="N52" i="1"/>
  <c r="M52" i="1"/>
  <c r="K52" i="1"/>
  <c r="Z51" i="1"/>
  <c r="V51" i="1"/>
  <c r="U51" i="1"/>
  <c r="T51" i="1"/>
  <c r="R51" i="1"/>
  <c r="Q51" i="1"/>
  <c r="P51" i="1"/>
  <c r="N51" i="1"/>
  <c r="M51" i="1" s="1"/>
  <c r="K51" i="1"/>
  <c r="Z50" i="1"/>
  <c r="V50" i="1"/>
  <c r="U50" i="1"/>
  <c r="T50" i="1"/>
  <c r="R50" i="1"/>
  <c r="Q50" i="1"/>
  <c r="P50" i="1"/>
  <c r="N50" i="1"/>
  <c r="M50" i="1" s="1"/>
  <c r="K50" i="1"/>
  <c r="Z49" i="1"/>
  <c r="V49" i="1"/>
  <c r="U49" i="1"/>
  <c r="T49" i="1"/>
  <c r="R49" i="1"/>
  <c r="Q49" i="1"/>
  <c r="P49" i="1"/>
  <c r="N49" i="1"/>
  <c r="M49" i="1" s="1"/>
  <c r="K49" i="1"/>
  <c r="Z48" i="1"/>
  <c r="V48" i="1"/>
  <c r="U48" i="1"/>
  <c r="T48" i="1"/>
  <c r="R48" i="1"/>
  <c r="Q48" i="1"/>
  <c r="P48" i="1"/>
  <c r="N48" i="1"/>
  <c r="M48" i="1" s="1"/>
  <c r="K48" i="1"/>
  <c r="Z47" i="1"/>
  <c r="V47" i="1"/>
  <c r="U47" i="1"/>
  <c r="T47" i="1"/>
  <c r="R47" i="1"/>
  <c r="Q47" i="1"/>
  <c r="P47" i="1"/>
  <c r="N47" i="1"/>
  <c r="M47" i="1" s="1"/>
  <c r="K47" i="1"/>
  <c r="Z46" i="1"/>
  <c r="V46" i="1"/>
  <c r="U46" i="1"/>
  <c r="T46" i="1"/>
  <c r="R46" i="1"/>
  <c r="Q46" i="1"/>
  <c r="P46" i="1"/>
  <c r="N46" i="1"/>
  <c r="K46" i="1"/>
  <c r="Z45" i="1"/>
  <c r="V45" i="1"/>
  <c r="U45" i="1"/>
  <c r="T45" i="1"/>
  <c r="R45" i="1"/>
  <c r="Q45" i="1"/>
  <c r="P45" i="1"/>
  <c r="N45" i="1"/>
  <c r="M45" i="1" s="1"/>
  <c r="K45" i="1"/>
  <c r="Z44" i="1"/>
  <c r="V44" i="1"/>
  <c r="U44" i="1"/>
  <c r="T44" i="1"/>
  <c r="R44" i="1"/>
  <c r="Q44" i="1"/>
  <c r="P44" i="1"/>
  <c r="N44" i="1"/>
  <c r="M44" i="1" s="1"/>
  <c r="K44" i="1"/>
  <c r="Z43" i="1"/>
  <c r="V43" i="1"/>
  <c r="U43" i="1"/>
  <c r="T43" i="1"/>
  <c r="R43" i="1"/>
  <c r="Q43" i="1"/>
  <c r="P43" i="1"/>
  <c r="N43" i="1"/>
  <c r="K43" i="1"/>
  <c r="Z42" i="1"/>
  <c r="V42" i="1"/>
  <c r="U42" i="1"/>
  <c r="T42" i="1"/>
  <c r="R42" i="1"/>
  <c r="Q42" i="1"/>
  <c r="P42" i="1"/>
  <c r="N42" i="1"/>
  <c r="M42" i="1"/>
  <c r="K42" i="1"/>
  <c r="Z41" i="1"/>
  <c r="V41" i="1"/>
  <c r="U41" i="1"/>
  <c r="T41" i="1"/>
  <c r="R41" i="1"/>
  <c r="Q41" i="1"/>
  <c r="P41" i="1"/>
  <c r="N41" i="1"/>
  <c r="M41" i="1"/>
  <c r="K4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P13" i="1"/>
  <c r="AE13" i="1" s="1"/>
  <c r="P14" i="1"/>
  <c r="AE14" i="1" s="1"/>
  <c r="P15" i="1"/>
  <c r="AE15" i="1" s="1"/>
  <c r="P16" i="1"/>
  <c r="AE16" i="1" s="1"/>
  <c r="P17" i="1"/>
  <c r="AE17" i="1" s="1"/>
  <c r="P18" i="1"/>
  <c r="AE18" i="1" s="1"/>
  <c r="P19" i="1"/>
  <c r="AE19" i="1" s="1"/>
  <c r="P20" i="1"/>
  <c r="AE20" i="1" s="1"/>
  <c r="P21" i="1"/>
  <c r="AE21" i="1" s="1"/>
  <c r="P22" i="1"/>
  <c r="AE22" i="1" s="1"/>
  <c r="P23" i="1"/>
  <c r="AE23" i="1" s="1"/>
  <c r="P24" i="1"/>
  <c r="AE24" i="1" s="1"/>
  <c r="P25" i="1"/>
  <c r="AE25" i="1" s="1"/>
  <c r="P26" i="1"/>
  <c r="AE26" i="1" s="1"/>
  <c r="P27" i="1"/>
  <c r="AE27" i="1" s="1"/>
  <c r="P28" i="1"/>
  <c r="AE28" i="1" s="1"/>
  <c r="P29" i="1"/>
  <c r="AE29" i="1" s="1"/>
  <c r="P30" i="1"/>
  <c r="AE30" i="1" s="1"/>
  <c r="N13" i="1"/>
  <c r="M13" i="1" s="1"/>
  <c r="N14" i="1"/>
  <c r="M14" i="1" s="1"/>
  <c r="N15" i="1"/>
  <c r="M15" i="1" s="1"/>
  <c r="N16" i="1"/>
  <c r="M16" i="1" s="1"/>
  <c r="N17" i="1"/>
  <c r="M17" i="1" s="1"/>
  <c r="N18" i="1"/>
  <c r="M18" i="1" s="1"/>
  <c r="N19" i="1"/>
  <c r="M19" i="1" s="1"/>
  <c r="N20" i="1"/>
  <c r="M20" i="1" s="1"/>
  <c r="N21" i="1"/>
  <c r="M21" i="1" s="1"/>
  <c r="N22" i="1"/>
  <c r="M22" i="1" s="1"/>
  <c r="N23" i="1"/>
  <c r="M23" i="1" s="1"/>
  <c r="N24" i="1"/>
  <c r="M24" i="1" s="1"/>
  <c r="N25" i="1"/>
  <c r="M25" i="1" s="1"/>
  <c r="N26" i="1"/>
  <c r="M26" i="1" s="1"/>
  <c r="N27" i="1"/>
  <c r="M27" i="1" s="1"/>
  <c r="N28" i="1"/>
  <c r="M28" i="1" s="1"/>
  <c r="N29" i="1"/>
  <c r="M29" i="1" s="1"/>
  <c r="N30" i="1"/>
  <c r="M30" i="1" s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P12" i="1"/>
  <c r="AE12" i="1" s="1"/>
  <c r="Q12" i="1"/>
  <c r="R12" i="1"/>
  <c r="T12" i="1"/>
  <c r="U12" i="1"/>
  <c r="V12" i="1"/>
  <c r="X12" i="1"/>
  <c r="Z12" i="1"/>
  <c r="J12" i="1"/>
  <c r="K12" i="1"/>
  <c r="X11" i="1"/>
  <c r="Z11" i="1"/>
  <c r="U11" i="1"/>
  <c r="T11" i="1"/>
  <c r="Q11" i="1"/>
  <c r="J11" i="1"/>
  <c r="P11" i="1"/>
  <c r="AE11" i="1" s="1"/>
  <c r="K11" i="1"/>
  <c r="V11" i="1"/>
  <c r="N12" i="1"/>
  <c r="M12" i="1" s="1"/>
  <c r="N11" i="1"/>
  <c r="M11" i="1" s="1"/>
  <c r="R11" i="1"/>
  <c r="AJ4" i="1"/>
  <c r="O11" i="1" s="1"/>
  <c r="AA42" i="1" l="1"/>
  <c r="AC42" i="1" s="1"/>
  <c r="AA43" i="1"/>
  <c r="AC43" i="1" s="1"/>
  <c r="O41" i="1"/>
  <c r="O43" i="1"/>
  <c r="O49" i="1"/>
  <c r="AA41" i="1"/>
  <c r="AC41" i="1" s="1"/>
  <c r="O42" i="1"/>
  <c r="O46" i="1"/>
  <c r="O45" i="1"/>
  <c r="O55" i="1"/>
  <c r="O48" i="1"/>
  <c r="M43" i="1"/>
  <c r="O44" i="1"/>
  <c r="Y44" i="1"/>
  <c r="AB44" i="1" s="1"/>
  <c r="AA48" i="1"/>
  <c r="AC48" i="1" s="1"/>
  <c r="O56" i="1"/>
  <c r="AA47" i="1"/>
  <c r="AC47" i="1" s="1"/>
  <c r="O58" i="1"/>
  <c r="AA51" i="1"/>
  <c r="AC51" i="1" s="1"/>
  <c r="O47" i="1"/>
  <c r="AA50" i="1"/>
  <c r="AC50" i="1" s="1"/>
  <c r="AA46" i="1"/>
  <c r="AC46" i="1" s="1"/>
  <c r="O57" i="1"/>
  <c r="Y54" i="1"/>
  <c r="AB54" i="1" s="1"/>
  <c r="O54" i="1"/>
  <c r="O53" i="1"/>
  <c r="O52" i="1"/>
  <c r="AA49" i="1"/>
  <c r="AC49" i="1" s="1"/>
  <c r="O51" i="1"/>
  <c r="O60" i="1"/>
  <c r="Y55" i="1"/>
  <c r="AB55" i="1" s="1"/>
  <c r="Y52" i="1"/>
  <c r="AB52" i="1" s="1"/>
  <c r="M46" i="1"/>
  <c r="Y46" i="1" s="1"/>
  <c r="AB46" i="1" s="1"/>
  <c r="O50" i="1"/>
  <c r="O59" i="1"/>
  <c r="AA56" i="1"/>
  <c r="AC56" i="1" s="1"/>
  <c r="AA58" i="1"/>
  <c r="AC58" i="1" s="1"/>
  <c r="AA57" i="1"/>
  <c r="AC57" i="1" s="1"/>
  <c r="AA45" i="1"/>
  <c r="AC45" i="1" s="1"/>
  <c r="Y60" i="1"/>
  <c r="AB60" i="1" s="1"/>
  <c r="Y53" i="1"/>
  <c r="AB53" i="1" s="1"/>
  <c r="Y59" i="1"/>
  <c r="AB59" i="1" s="1"/>
  <c r="AA60" i="1"/>
  <c r="AC60" i="1" s="1"/>
  <c r="AD60" i="1" s="1"/>
  <c r="Y41" i="1"/>
  <c r="AB41" i="1" s="1"/>
  <c r="AD41" i="1" s="1"/>
  <c r="Y57" i="1"/>
  <c r="AB57" i="1" s="1"/>
  <c r="AA53" i="1"/>
  <c r="AC53" i="1" s="1"/>
  <c r="AA55" i="1"/>
  <c r="AC55" i="1" s="1"/>
  <c r="Y43" i="1"/>
  <c r="AB43" i="1" s="1"/>
  <c r="Y45" i="1"/>
  <c r="AB45" i="1" s="1"/>
  <c r="Y47" i="1"/>
  <c r="AB47" i="1" s="1"/>
  <c r="Y49" i="1"/>
  <c r="AB49" i="1" s="1"/>
  <c r="Y51" i="1"/>
  <c r="AB51" i="1" s="1"/>
  <c r="AA59" i="1"/>
  <c r="AC59" i="1" s="1"/>
  <c r="Y42" i="1"/>
  <c r="AB42" i="1" s="1"/>
  <c r="AD42" i="1" s="1"/>
  <c r="Y48" i="1"/>
  <c r="AB48" i="1" s="1"/>
  <c r="AD48" i="1" s="1"/>
  <c r="Y50" i="1"/>
  <c r="AB50" i="1" s="1"/>
  <c r="Y56" i="1"/>
  <c r="AB56" i="1" s="1"/>
  <c r="Y58" i="1"/>
  <c r="AB58" i="1" s="1"/>
  <c r="AA44" i="1"/>
  <c r="AC44" i="1" s="1"/>
  <c r="AA52" i="1"/>
  <c r="AC52" i="1" s="1"/>
  <c r="AA54" i="1"/>
  <c r="AC54" i="1" s="1"/>
  <c r="AD54" i="1" s="1"/>
  <c r="AA12" i="1"/>
  <c r="AC12" i="1" s="1"/>
  <c r="AA24" i="1"/>
  <c r="AC24" i="1" s="1"/>
  <c r="AA23" i="1"/>
  <c r="AC23" i="1" s="1"/>
  <c r="AA28" i="1"/>
  <c r="AC28" i="1" s="1"/>
  <c r="O28" i="1"/>
  <c r="AA21" i="1"/>
  <c r="AC21" i="1" s="1"/>
  <c r="AA27" i="1"/>
  <c r="AC27" i="1" s="1"/>
  <c r="AA15" i="1"/>
  <c r="AC15" i="1" s="1"/>
  <c r="O18" i="1"/>
  <c r="AA30" i="1"/>
  <c r="AC30" i="1" s="1"/>
  <c r="AA29" i="1"/>
  <c r="AC29" i="1" s="1"/>
  <c r="AA16" i="1"/>
  <c r="AC16" i="1" s="1"/>
  <c r="AA20" i="1"/>
  <c r="AC20" i="1" s="1"/>
  <c r="AA26" i="1"/>
  <c r="AC26" i="1" s="1"/>
  <c r="Y14" i="1"/>
  <c r="AB14" i="1" s="1"/>
  <c r="O17" i="1"/>
  <c r="Y12" i="1"/>
  <c r="AB12" i="1" s="1"/>
  <c r="Y18" i="1"/>
  <c r="AB18" i="1" s="1"/>
  <c r="O30" i="1"/>
  <c r="AA17" i="1"/>
  <c r="AC17" i="1" s="1"/>
  <c r="O29" i="1"/>
  <c r="Y22" i="1"/>
  <c r="AB22" i="1" s="1"/>
  <c r="AA19" i="1"/>
  <c r="AC19" i="1" s="1"/>
  <c r="AA25" i="1"/>
  <c r="AC25" i="1" s="1"/>
  <c r="Y13" i="1"/>
  <c r="AB13" i="1" s="1"/>
  <c r="O16" i="1"/>
  <c r="Y30" i="1"/>
  <c r="AB30" i="1" s="1"/>
  <c r="AA18" i="1"/>
  <c r="AC18" i="1" s="1"/>
  <c r="Y29" i="1"/>
  <c r="AB29" i="1" s="1"/>
  <c r="Y17" i="1"/>
  <c r="AB17" i="1" s="1"/>
  <c r="Y28" i="1"/>
  <c r="AB28" i="1" s="1"/>
  <c r="AD28" i="1" s="1"/>
  <c r="Y27" i="1"/>
  <c r="AB27" i="1" s="1"/>
  <c r="AD27" i="1" s="1"/>
  <c r="Y26" i="1"/>
  <c r="AB26" i="1" s="1"/>
  <c r="AD26" i="1" s="1"/>
  <c r="AA14" i="1"/>
  <c r="AC14" i="1" s="1"/>
  <c r="Y24" i="1"/>
  <c r="AB24" i="1" s="1"/>
  <c r="O23" i="1"/>
  <c r="AA22" i="1"/>
  <c r="AC22" i="1" s="1"/>
  <c r="O21" i="1"/>
  <c r="Y21" i="1"/>
  <c r="AB21" i="1" s="1"/>
  <c r="O27" i="1"/>
  <c r="O15" i="1"/>
  <c r="Y15" i="1"/>
  <c r="AB15" i="1" s="1"/>
  <c r="O14" i="1"/>
  <c r="O12" i="1"/>
  <c r="O25" i="1"/>
  <c r="Y25" i="1"/>
  <c r="AB25" i="1" s="1"/>
  <c r="AA13" i="1"/>
  <c r="AC13" i="1" s="1"/>
  <c r="O24" i="1"/>
  <c r="Y23" i="1"/>
  <c r="AB23" i="1" s="1"/>
  <c r="O22" i="1"/>
  <c r="O20" i="1"/>
  <c r="Y20" i="1"/>
  <c r="AB20" i="1" s="1"/>
  <c r="Y16" i="1"/>
  <c r="AB16" i="1" s="1"/>
  <c r="O26" i="1"/>
  <c r="O13" i="1"/>
  <c r="O19" i="1"/>
  <c r="Y19" i="1"/>
  <c r="AB19" i="1" s="1"/>
  <c r="Y11" i="1"/>
  <c r="AB11" i="1" s="1"/>
  <c r="AA11" i="1"/>
  <c r="AC11" i="1" s="1"/>
  <c r="AD43" i="1" l="1"/>
  <c r="AD55" i="1"/>
  <c r="AD53" i="1"/>
  <c r="AD44" i="1"/>
  <c r="AD57" i="1"/>
  <c r="AD20" i="1"/>
  <c r="AD12" i="1"/>
  <c r="AD58" i="1"/>
  <c r="AD56" i="1"/>
  <c r="AD50" i="1"/>
  <c r="AD46" i="1"/>
  <c r="AD51" i="1"/>
  <c r="AD47" i="1"/>
  <c r="AD49" i="1"/>
  <c r="AD11" i="1"/>
  <c r="AD13" i="1"/>
  <c r="AD24" i="1"/>
  <c r="AD52" i="1"/>
  <c r="AD45" i="1"/>
  <c r="AD14" i="1"/>
  <c r="AD59" i="1"/>
  <c r="AD16" i="1"/>
  <c r="AD25" i="1"/>
  <c r="AD17" i="1"/>
  <c r="AD29" i="1"/>
  <c r="AD30" i="1"/>
  <c r="AD22" i="1"/>
  <c r="AD19" i="1"/>
  <c r="AD15" i="1"/>
  <c r="AD18" i="1"/>
  <c r="AD21" i="1"/>
  <c r="AD23" i="1"/>
</calcChain>
</file>

<file path=xl/sharedStrings.xml><?xml version="1.0" encoding="utf-8"?>
<sst xmlns="http://schemas.openxmlformats.org/spreadsheetml/2006/main" count="385" uniqueCount="106">
  <si>
    <t>Livestock type</t>
  </si>
  <si>
    <t>Class</t>
  </si>
  <si>
    <t>Nj</t>
  </si>
  <si>
    <t>Buffalo</t>
  </si>
  <si>
    <t>Bulls</t>
  </si>
  <si>
    <t>Cows</t>
  </si>
  <si>
    <t>Steers</t>
  </si>
  <si>
    <t>Calves</t>
  </si>
  <si>
    <t>Bucks/Billy</t>
  </si>
  <si>
    <t>Wethers</t>
  </si>
  <si>
    <t>Maiden breeding</t>
  </si>
  <si>
    <t>does/nannies</t>
  </si>
  <si>
    <t>Breeding does/nannies</t>
  </si>
  <si>
    <t>Other</t>
  </si>
  <si>
    <t>Kids</t>
  </si>
  <si>
    <t>Bucks</t>
  </si>
  <si>
    <t>Breeding Does</t>
  </si>
  <si>
    <t>Other Does</t>
  </si>
  <si>
    <t>Fawn</t>
  </si>
  <si>
    <t>Camels</t>
  </si>
  <si>
    <t>Alpacas</t>
  </si>
  <si>
    <t>Horses</t>
  </si>
  <si>
    <t>Mules/asses</t>
  </si>
  <si>
    <t>Emus/Ostriches</t>
  </si>
  <si>
    <t>Deer</t>
  </si>
  <si>
    <t>Goats</t>
  </si>
  <si>
    <t>MCF</t>
  </si>
  <si>
    <t>Methane coversion factor</t>
  </si>
  <si>
    <t>ACT</t>
  </si>
  <si>
    <t>Uncovered anaerobic lagoon</t>
  </si>
  <si>
    <t>MCF pasture</t>
  </si>
  <si>
    <t>MCF by climate zone</t>
  </si>
  <si>
    <t>MAT</t>
  </si>
  <si>
    <t>Climate zone</t>
  </si>
  <si>
    <t>State</t>
  </si>
  <si>
    <t>VSj</t>
  </si>
  <si>
    <t>Appendix A.1.5.2</t>
  </si>
  <si>
    <t>Stock excluded</t>
  </si>
  <si>
    <t>Cn2o</t>
  </si>
  <si>
    <t>p</t>
  </si>
  <si>
    <t>EFprp</t>
  </si>
  <si>
    <t>wet</t>
  </si>
  <si>
    <t>dry</t>
  </si>
  <si>
    <t>is wet climate zone</t>
  </si>
  <si>
    <t>NEj</t>
  </si>
  <si>
    <t>EFn2o</t>
  </si>
  <si>
    <t>Leaching zone</t>
  </si>
  <si>
    <t>FracWET</t>
  </si>
  <si>
    <t>FracGASMsoil</t>
  </si>
  <si>
    <t>FracLEACH</t>
  </si>
  <si>
    <t>EFleach</t>
  </si>
  <si>
    <t>Average annual head</t>
  </si>
  <si>
    <t>Ech4</t>
  </si>
  <si>
    <t>4.7 1704</t>
  </si>
  <si>
    <r>
      <t xml:space="preserve">𝑀 </t>
    </r>
    <r>
      <rPr>
        <sz val="8"/>
        <color rgb="FF000000"/>
        <rFont val="Helvetica"/>
        <family val="2"/>
      </rPr>
      <t xml:space="preserve">𝑗𝑚 </t>
    </r>
    <r>
      <rPr>
        <sz val="11"/>
        <color rgb="FF000000"/>
        <rFont val="Helvetica"/>
        <family val="2"/>
      </rPr>
      <t xml:space="preserve">= 𝑉𝑆 </t>
    </r>
    <r>
      <rPr>
        <sz val="8"/>
        <color rgb="FF000000"/>
        <rFont val="Helvetica"/>
        <family val="2"/>
      </rPr>
      <t>𝑗</t>
    </r>
    <r>
      <rPr>
        <sz val="11"/>
        <color rgb="FF000000"/>
        <rFont val="Helvetica"/>
        <family val="2"/>
      </rPr>
      <t xml:space="preserve"> × 𝐵</t>
    </r>
    <r>
      <rPr>
        <sz val="8"/>
        <color rgb="FF000000"/>
        <rFont val="Helvetica"/>
        <family val="2"/>
      </rPr>
      <t xml:space="preserve">𝑂 </t>
    </r>
    <r>
      <rPr>
        <sz val="11"/>
        <color rgb="FF000000"/>
        <rFont val="Helvetica"/>
        <family val="2"/>
      </rPr>
      <t>× 𝑀𝑀𝑆</t>
    </r>
    <r>
      <rPr>
        <sz val="8"/>
        <color rgb="FF000000"/>
        <rFont val="Helvetica"/>
        <family val="2"/>
      </rPr>
      <t>𝑚</t>
    </r>
    <r>
      <rPr>
        <sz val="11"/>
        <color rgb="FF000000"/>
        <rFont val="Helvetica"/>
        <family val="2"/>
      </rPr>
      <t xml:space="preserve"> × 𝑀𝐶𝐹 </t>
    </r>
    <r>
      <rPr>
        <sz val="8"/>
        <color rgb="FF000000"/>
        <rFont val="Helvetica"/>
        <family val="2"/>
      </rPr>
      <t xml:space="preserve">𝑖𝑚 </t>
    </r>
    <r>
      <rPr>
        <sz val="11"/>
        <color rgb="FF000000"/>
        <rFont val="Helvetica"/>
        <family val="2"/>
      </rPr>
      <t>× 𝜌</t>
    </r>
  </si>
  <si>
    <t>MMSm=14</t>
  </si>
  <si>
    <t>MMSm=1</t>
  </si>
  <si>
    <t>yes</t>
  </si>
  <si>
    <t>no</t>
  </si>
  <si>
    <t>Mjm=14</t>
  </si>
  <si>
    <t>Mjm=1</t>
  </si>
  <si>
    <t>Bo</t>
  </si>
  <si>
    <t>MCFim=1</t>
  </si>
  <si>
    <t>MCFim=14</t>
  </si>
  <si>
    <t>Emus/ostriches</t>
  </si>
  <si>
    <t>NSW</t>
  </si>
  <si>
    <t>NT</t>
  </si>
  <si>
    <t>QLD</t>
  </si>
  <si>
    <t>SA</t>
  </si>
  <si>
    <t>TAS</t>
  </si>
  <si>
    <t>VIC</t>
  </si>
  <si>
    <t>WA</t>
  </si>
  <si>
    <t>constant</t>
  </si>
  <si>
    <t>Pasture type</t>
  </si>
  <si>
    <t>Irrigated crop</t>
  </si>
  <si>
    <t>Irrigated pasture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</si>
  <si>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</si>
  <si>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</si>
  <si>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</si>
  <si>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</si>
  <si>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</si>
  <si>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</si>
  <si>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Aquaculture</t>
  </si>
  <si>
    <t>Rice (continuous flooding)</t>
  </si>
  <si>
    <t>Rice (partial flooding)</t>
  </si>
  <si>
    <t>Forestry</t>
  </si>
  <si>
    <t>Ech4m=1</t>
  </si>
  <si>
    <t>Ech4m=14</t>
  </si>
  <si>
    <t>input</t>
  </si>
  <si>
    <t>FracGASMSoil</t>
  </si>
  <si>
    <t>Temperature zone</t>
  </si>
  <si>
    <t>input (method 2)</t>
  </si>
  <si>
    <t>10 or below</t>
  </si>
  <si>
    <t>28 or above</t>
  </si>
  <si>
    <t>En2o,dir</t>
  </si>
  <si>
    <t>AE</t>
  </si>
  <si>
    <t>Tropical montane</t>
  </si>
  <si>
    <t>Tropical wet</t>
  </si>
  <si>
    <t>Tropical moist</t>
  </si>
  <si>
    <t>Warm temperate moist</t>
  </si>
  <si>
    <t>Cool temperate moist</t>
  </si>
  <si>
    <t>Boreal moist</t>
  </si>
  <si>
    <t>Tropical dry</t>
  </si>
  <si>
    <t>Warm temperate dry</t>
  </si>
  <si>
    <t>Cool temperate dry</t>
  </si>
  <si>
    <t>Boreal 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</si>
</sst>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6" fillId="0" borderId="0" xfId="0" applyFont="1"/>
    <xf numFmtId="0" fontId="3" fillId="2" borderId="0" xfId="0" applyFont="1" applyFill="1"/>
    <xf numFmtId="0" fontId="0" fillId="3" borderId="0" xfId="0" applyFill="1"/>
    <xf numFmtId="0" fontId="3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O64"/>
  <sheetViews>
    <sheetView tabSelected="1" topLeftCell="M1" workbookViewId="0">
      <selection activeCell="AF11" sqref="AF11:AF30"/>
    </sheetView>
  </sheetViews>
  <sheetFormatPr baseColWidth="10" defaultRowHeight="16"/>
  <cols>
    <col min="1" max="1" width="17.33203125" style="3" customWidth="1"/>
    <col min="2" max="2" width="22.6640625" bestFit="1" customWidth="1"/>
    <col min="3" max="3" width="17.83203125" bestFit="1" customWidth="1"/>
    <col min="4" max="4" width="26.6640625" customWidth="1"/>
    <col min="5" max="5" width="29.6640625" customWidth="1"/>
    <col min="6" max="7" width="15.83203125" customWidth="1"/>
    <col min="8" max="8" width="12.1640625" customWidth="1"/>
    <col min="9" max="9" width="5.5" bestFit="1" customWidth="1"/>
    <col min="10" max="11" width="8.33203125" bestFit="1" customWidth="1"/>
    <col min="12" max="12" width="13.33203125" bestFit="1" customWidth="1"/>
    <col min="13" max="13" width="8.6640625" bestFit="1" customWidth="1"/>
    <col min="14" max="14" width="9.6640625" bestFit="1" customWidth="1"/>
    <col min="15" max="15" width="12.1640625" bestFit="1" customWidth="1"/>
    <col min="16" max="18" width="8.33203125" bestFit="1" customWidth="1"/>
    <col min="19" max="19" width="12.6640625" bestFit="1" customWidth="1"/>
    <col min="20" max="20" width="10.33203125" bestFit="1" customWidth="1"/>
    <col min="21" max="22" width="8.33203125" bestFit="1" customWidth="1"/>
    <col min="23" max="23" width="8.33203125" customWidth="1"/>
    <col min="24" max="24" width="9" bestFit="1" customWidth="1"/>
    <col min="25" max="25" width="6.6640625" bestFit="1" customWidth="1"/>
    <col min="26" max="26" width="10" bestFit="1" customWidth="1"/>
    <col min="27" max="27" width="19.33203125" customWidth="1"/>
    <col min="28" max="28" width="8.6640625" bestFit="1" customWidth="1"/>
    <col min="29" max="30" width="12.1640625" bestFit="1" customWidth="1"/>
    <col min="31" max="31" width="12.1640625" customWidth="1"/>
    <col min="32" max="33" width="16.5" customWidth="1"/>
    <col min="35" max="36" width="16" customWidth="1"/>
    <col min="38" max="38" width="36" customWidth="1"/>
    <col min="40" max="40" width="35.83203125" bestFit="1" customWidth="1"/>
  </cols>
  <sheetData>
    <row r="1" spans="1:41">
      <c r="AJ1" s="1"/>
    </row>
    <row r="2" spans="1:41">
      <c r="AJ2" s="1"/>
    </row>
    <row r="3" spans="1:41">
      <c r="I3" s="1"/>
      <c r="J3" s="1"/>
      <c r="K3" s="1"/>
      <c r="L3" s="1"/>
      <c r="M3" s="1"/>
      <c r="N3" s="1"/>
      <c r="AA3" s="1" t="s">
        <v>54</v>
      </c>
      <c r="AB3" s="1"/>
      <c r="AC3" s="1"/>
      <c r="AI3" t="s">
        <v>48</v>
      </c>
      <c r="AJ3">
        <v>0.21</v>
      </c>
      <c r="AL3" s="7" t="s">
        <v>49</v>
      </c>
      <c r="AM3">
        <v>0.24</v>
      </c>
    </row>
    <row r="4" spans="1:41">
      <c r="C4">
        <v>1776</v>
      </c>
      <c r="F4">
        <v>1779</v>
      </c>
      <c r="G4">
        <v>1789</v>
      </c>
      <c r="J4">
        <v>1783</v>
      </c>
      <c r="K4">
        <v>383</v>
      </c>
      <c r="M4">
        <v>1785</v>
      </c>
      <c r="N4">
        <v>1785</v>
      </c>
      <c r="O4">
        <v>1786</v>
      </c>
      <c r="P4">
        <v>1790</v>
      </c>
      <c r="Q4">
        <v>1791</v>
      </c>
      <c r="R4">
        <v>1792</v>
      </c>
      <c r="S4">
        <v>1794</v>
      </c>
      <c r="T4">
        <v>1796</v>
      </c>
      <c r="U4">
        <v>1797</v>
      </c>
      <c r="V4">
        <v>1787</v>
      </c>
      <c r="W4">
        <v>1789</v>
      </c>
      <c r="X4">
        <v>1779</v>
      </c>
      <c r="Z4">
        <v>1779</v>
      </c>
      <c r="AA4" t="s">
        <v>53</v>
      </c>
      <c r="AI4" t="s">
        <v>38</v>
      </c>
      <c r="AJ4">
        <f>44/28</f>
        <v>1.5714285714285714</v>
      </c>
      <c r="AL4" t="s">
        <v>50</v>
      </c>
      <c r="AM4">
        <v>0.11</v>
      </c>
    </row>
    <row r="5" spans="1:41">
      <c r="C5" t="s">
        <v>88</v>
      </c>
      <c r="F5" t="s">
        <v>91</v>
      </c>
      <c r="J5" t="s">
        <v>72</v>
      </c>
      <c r="K5" t="s">
        <v>72</v>
      </c>
      <c r="M5" t="s">
        <v>72</v>
      </c>
      <c r="N5" t="s">
        <v>72</v>
      </c>
      <c r="O5" t="s">
        <v>72</v>
      </c>
      <c r="P5" t="s">
        <v>72</v>
      </c>
      <c r="Q5" t="s">
        <v>72</v>
      </c>
      <c r="R5" t="s">
        <v>72</v>
      </c>
      <c r="S5" t="s">
        <v>72</v>
      </c>
      <c r="T5" t="s">
        <v>72</v>
      </c>
      <c r="U5" t="s">
        <v>72</v>
      </c>
      <c r="V5" t="s">
        <v>72</v>
      </c>
      <c r="W5" t="s">
        <v>72</v>
      </c>
      <c r="X5" t="s">
        <v>72</v>
      </c>
      <c r="Z5" t="s">
        <v>72</v>
      </c>
      <c r="AI5" t="s">
        <v>39</v>
      </c>
      <c r="AJ5">
        <v>0.6784</v>
      </c>
      <c r="AL5" t="s">
        <v>61</v>
      </c>
      <c r="AM5">
        <v>0.19</v>
      </c>
    </row>
    <row r="6" spans="1:41">
      <c r="A6" s="2"/>
      <c r="B6" s="2"/>
      <c r="AH6" t="s">
        <v>40</v>
      </c>
      <c r="AI6" t="s">
        <v>41</v>
      </c>
      <c r="AJ6">
        <v>6.0000000000000001E-3</v>
      </c>
    </row>
    <row r="7" spans="1:41">
      <c r="AI7" t="s">
        <v>42</v>
      </c>
      <c r="AJ7">
        <v>2E-3</v>
      </c>
      <c r="AL7" s="2"/>
      <c r="AM7" s="2"/>
    </row>
    <row r="8" spans="1:41">
      <c r="AL8" s="2"/>
      <c r="AM8" s="2"/>
    </row>
    <row r="9" spans="1:41">
      <c r="A9" s="4"/>
      <c r="C9" t="s">
        <v>51</v>
      </c>
      <c r="AJ9" t="s">
        <v>36</v>
      </c>
      <c r="AL9" s="2"/>
      <c r="AM9" s="2"/>
      <c r="AO9" t="s">
        <v>45</v>
      </c>
    </row>
    <row r="10" spans="1:41" ht="17">
      <c r="A10" s="5" t="s">
        <v>0</v>
      </c>
      <c r="B10" s="8" t="s">
        <v>1</v>
      </c>
      <c r="C10" s="6" t="s">
        <v>2</v>
      </c>
      <c r="D10" s="6" t="s">
        <v>46</v>
      </c>
      <c r="E10" s="6" t="s">
        <v>73</v>
      </c>
      <c r="F10" t="s">
        <v>90</v>
      </c>
      <c r="G10" s="6" t="s">
        <v>33</v>
      </c>
      <c r="H10" t="s">
        <v>43</v>
      </c>
      <c r="I10" s="11" t="s">
        <v>34</v>
      </c>
      <c r="J10" s="11" t="s">
        <v>35</v>
      </c>
      <c r="K10" s="11" t="s">
        <v>61</v>
      </c>
      <c r="L10" s="6" t="s">
        <v>37</v>
      </c>
      <c r="M10" s="11" t="s">
        <v>56</v>
      </c>
      <c r="N10" s="11" t="s">
        <v>55</v>
      </c>
      <c r="O10" s="11" t="s">
        <v>38</v>
      </c>
      <c r="P10" s="11" t="s">
        <v>44</v>
      </c>
      <c r="Q10" s="11" t="s">
        <v>45</v>
      </c>
      <c r="R10" s="11" t="s">
        <v>47</v>
      </c>
      <c r="S10" s="11" t="s">
        <v>89</v>
      </c>
      <c r="T10" s="11" t="s">
        <v>49</v>
      </c>
      <c r="U10" s="11" t="s">
        <v>50</v>
      </c>
      <c r="V10" s="11" t="s">
        <v>39</v>
      </c>
      <c r="W10" s="11" t="s">
        <v>40</v>
      </c>
      <c r="X10" s="11" t="s">
        <v>62</v>
      </c>
      <c r="Y10" s="11" t="s">
        <v>60</v>
      </c>
      <c r="Z10" s="11" t="s">
        <v>63</v>
      </c>
      <c r="AA10" s="11" t="s">
        <v>59</v>
      </c>
      <c r="AB10" s="11" t="s">
        <v>86</v>
      </c>
      <c r="AC10" s="11" t="s">
        <v>87</v>
      </c>
      <c r="AD10" s="9" t="s">
        <v>52</v>
      </c>
      <c r="AE10" s="11" t="s">
        <v>95</v>
      </c>
      <c r="AF10" s="9" t="s">
        <v>94</v>
      </c>
      <c r="AG10" s="11"/>
      <c r="AI10" t="s">
        <v>35</v>
      </c>
      <c r="AJ10" t="s">
        <v>35</v>
      </c>
      <c r="AK10" t="s">
        <v>44</v>
      </c>
      <c r="AL10" s="2"/>
      <c r="AM10" s="2"/>
      <c r="AN10" s="2" t="s">
        <v>75</v>
      </c>
      <c r="AO10" s="2">
        <v>5.8999999999999999E-3</v>
      </c>
    </row>
    <row r="11" spans="1:41" ht="17">
      <c r="A11" s="3" t="s">
        <v>3</v>
      </c>
      <c r="B11" s="2" t="s">
        <v>4</v>
      </c>
      <c r="C11">
        <v>5</v>
      </c>
      <c r="D11" t="s">
        <v>57</v>
      </c>
      <c r="E11" t="s">
        <v>74</v>
      </c>
      <c r="G11" t="s">
        <v>96</v>
      </c>
      <c r="H11" t="str">
        <f>VLOOKUP(G11,$AN$31:$AO$40,2,FALSE)</f>
        <v>wet</v>
      </c>
      <c r="I11" t="s">
        <v>67</v>
      </c>
      <c r="J11">
        <f>VLOOKUP(A11, $AI$11:$AJ$18,2,FALSE)</f>
        <v>2.73</v>
      </c>
      <c r="K11">
        <f>$AM$5</f>
        <v>0.19</v>
      </c>
      <c r="L11" t="s">
        <v>57</v>
      </c>
      <c r="M11">
        <f>1-N11</f>
        <v>0</v>
      </c>
      <c r="N11">
        <f>IF(L11="yes", 1, 0.95)</f>
        <v>1</v>
      </c>
      <c r="O11">
        <f>$AJ$4</f>
        <v>1.5714285714285714</v>
      </c>
      <c r="P11">
        <f>VLOOKUP(A11, $AI$11:$AK$18,3,FALSE)</f>
        <v>39.5</v>
      </c>
      <c r="Q11">
        <f>VLOOKUP(E11,$AN$10:$AO$22,2,FALSE)</f>
        <v>7.0000000000000001E-3</v>
      </c>
      <c r="R11">
        <f>IF(D11="yes", 1, 0)</f>
        <v>1</v>
      </c>
      <c r="T11">
        <f>$AM$3</f>
        <v>0.24</v>
      </c>
      <c r="U11">
        <f>$AM$4</f>
        <v>0.11</v>
      </c>
      <c r="V11">
        <f>$AJ$5</f>
        <v>0.6784</v>
      </c>
      <c r="W11">
        <f>IF(H11="wet",$AJ$6,$AJ$7)</f>
        <v>6.0000000000000001E-3</v>
      </c>
      <c r="X11">
        <f>VLOOKUP(I11,$AI$23:$AJ$30,2,FALSE)</f>
        <v>0.78</v>
      </c>
      <c r="Y11">
        <f>J11*K11*M11*X11*V11</f>
        <v>0</v>
      </c>
      <c r="Z11">
        <f>$AI$33</f>
        <v>4.7000000000000002E-3</v>
      </c>
      <c r="AA11">
        <f>J11*K11*N11*Z11*V11</f>
        <v>1.6538645760000002E-3</v>
      </c>
      <c r="AB11">
        <f>C11*Y11*365</f>
        <v>0</v>
      </c>
      <c r="AC11">
        <f>C11*AA11*365</f>
        <v>3.0183028512000001</v>
      </c>
      <c r="AD11">
        <f>(AB11+AC11)*10^-3</f>
        <v>3.0183028512000003E-3</v>
      </c>
      <c r="AE11" s="11">
        <f>C11*P11*365</f>
        <v>72087.5</v>
      </c>
      <c r="AF11">
        <f>AE11*W11*O11*10^-3</f>
        <v>0.6796821428571429</v>
      </c>
      <c r="AI11" s="2" t="s">
        <v>3</v>
      </c>
      <c r="AJ11" s="2">
        <v>2.73</v>
      </c>
      <c r="AK11" s="2">
        <v>39.5</v>
      </c>
      <c r="AL11" s="2"/>
      <c r="AM11" s="2"/>
      <c r="AN11" s="2" t="s">
        <v>74</v>
      </c>
      <c r="AO11" s="2">
        <v>7.0000000000000001E-3</v>
      </c>
    </row>
    <row r="12" spans="1:41" ht="17">
      <c r="A12" s="3" t="s">
        <v>3</v>
      </c>
      <c r="B12" s="2" t="s">
        <v>5</v>
      </c>
      <c r="C12">
        <v>6</v>
      </c>
      <c r="D12" t="s">
        <v>58</v>
      </c>
      <c r="E12" t="s">
        <v>74</v>
      </c>
      <c r="G12" t="s">
        <v>97</v>
      </c>
      <c r="H12" t="str">
        <f t="shared" ref="H12:H30" si="0">VLOOKUP(G12,$AN$31:$AO$40,2,FALSE)</f>
        <v>wet</v>
      </c>
      <c r="I12" t="s">
        <v>67</v>
      </c>
      <c r="J12">
        <f>VLOOKUP(A12, $AI$11:$AJ$18,2,FALSE)</f>
        <v>2.73</v>
      </c>
      <c r="K12">
        <f>$AM$5</f>
        <v>0.19</v>
      </c>
      <c r="L12" t="s">
        <v>57</v>
      </c>
      <c r="M12">
        <f>1-N12</f>
        <v>0</v>
      </c>
      <c r="N12">
        <f>IF(L12="yes", 1, 0.95)</f>
        <v>1</v>
      </c>
      <c r="O12">
        <f>$AJ$4</f>
        <v>1.5714285714285714</v>
      </c>
      <c r="P12">
        <f>VLOOKUP(A12, $AI$11:$AK$18,3,FALSE)</f>
        <v>39.5</v>
      </c>
      <c r="Q12">
        <f>VLOOKUP(E12,$AN$10:$AO$22,2,FALSE)</f>
        <v>7.0000000000000001E-3</v>
      </c>
      <c r="R12">
        <f>IF(D12="yes", 1, 0)</f>
        <v>0</v>
      </c>
      <c r="T12">
        <f>$AM$3</f>
        <v>0.24</v>
      </c>
      <c r="U12">
        <f>$AM$4</f>
        <v>0.11</v>
      </c>
      <c r="V12">
        <f>$AJ$5</f>
        <v>0.6784</v>
      </c>
      <c r="W12">
        <f t="shared" ref="W12:W30" si="1">IF(H12="wet",$AJ$6,$AJ$7)</f>
        <v>6.0000000000000001E-3</v>
      </c>
      <c r="X12">
        <f>VLOOKUP(I12,$AI$23:$AJ$30,2,FALSE)</f>
        <v>0.78</v>
      </c>
      <c r="Y12">
        <f>J12*K12*M12*X12*V12</f>
        <v>0</v>
      </c>
      <c r="Z12">
        <f>$AI$33</f>
        <v>4.7000000000000002E-3</v>
      </c>
      <c r="AA12">
        <f>J12*K12*N12*Z12*V12</f>
        <v>1.6538645760000002E-3</v>
      </c>
      <c r="AB12">
        <f>C12*Y12*365</f>
        <v>0</v>
      </c>
      <c r="AC12">
        <f>C12*AA12*365</f>
        <v>3.6219634214400007</v>
      </c>
      <c r="AD12">
        <f>(AB12+AC12)*10^-3</f>
        <v>3.6219634214400007E-3</v>
      </c>
      <c r="AE12" s="11">
        <f t="shared" ref="AE12:AE30" si="2">C12*P12*365</f>
        <v>86505</v>
      </c>
      <c r="AF12">
        <f t="shared" ref="AF12:AF30" si="3">AE12*W12*O12*10^-3</f>
        <v>0.81561857142857142</v>
      </c>
      <c r="AI12" s="2" t="s">
        <v>25</v>
      </c>
      <c r="AJ12" s="2">
        <v>0.34</v>
      </c>
      <c r="AK12" s="2">
        <v>7</v>
      </c>
      <c r="AL12" s="2"/>
      <c r="AM12" s="2"/>
      <c r="AN12" s="2" t="s">
        <v>76</v>
      </c>
      <c r="AO12" s="2">
        <v>1.8E-3</v>
      </c>
    </row>
    <row r="13" spans="1:41" ht="17">
      <c r="A13" s="3" t="s">
        <v>3</v>
      </c>
      <c r="B13" s="2" t="s">
        <v>6</v>
      </c>
      <c r="C13">
        <v>7</v>
      </c>
      <c r="D13" t="s">
        <v>57</v>
      </c>
      <c r="E13" s="2" t="s">
        <v>75</v>
      </c>
      <c r="G13" t="s">
        <v>98</v>
      </c>
      <c r="H13" t="str">
        <f t="shared" si="0"/>
        <v>wet</v>
      </c>
      <c r="I13" t="s">
        <v>67</v>
      </c>
      <c r="J13">
        <f t="shared" ref="J13:J30" si="4">VLOOKUP(A13, $AI$11:$AJ$18,2,FALSE)</f>
        <v>2.73</v>
      </c>
      <c r="K13">
        <f>$AM$5</f>
        <v>0.19</v>
      </c>
      <c r="L13" t="s">
        <v>57</v>
      </c>
      <c r="M13">
        <f t="shared" ref="M13:M30" si="5">1-N13</f>
        <v>0</v>
      </c>
      <c r="N13">
        <f t="shared" ref="N13:N30" si="6">IF(L13="yes", 1, 0.95)</f>
        <v>1</v>
      </c>
      <c r="O13">
        <f>$AJ$4</f>
        <v>1.5714285714285714</v>
      </c>
      <c r="P13">
        <f t="shared" ref="P13:P30" si="7">VLOOKUP(A13, $AI$11:$AK$18,3,FALSE)</f>
        <v>39.5</v>
      </c>
      <c r="Q13">
        <f t="shared" ref="Q13:Q30" si="8">VLOOKUP(E13,$AN$10:$AO$22,2,FALSE)</f>
        <v>5.8999999999999999E-3</v>
      </c>
      <c r="R13">
        <f t="shared" ref="R13:R30" si="9">IF(D13="yes", 1, 0)</f>
        <v>1</v>
      </c>
      <c r="T13">
        <f>$AM$3</f>
        <v>0.24</v>
      </c>
      <c r="U13">
        <f>$AM$4</f>
        <v>0.11</v>
      </c>
      <c r="V13">
        <f>$AJ$5</f>
        <v>0.6784</v>
      </c>
      <c r="W13">
        <f t="shared" si="1"/>
        <v>6.0000000000000001E-3</v>
      </c>
      <c r="X13">
        <f t="shared" ref="X13:X30" si="10">VLOOKUP(I13,$AI$23:$AJ$30,2,FALSE)</f>
        <v>0.78</v>
      </c>
      <c r="Y13">
        <f t="shared" ref="Y13:Y30" si="11">J13*K13*M13*X13*V13</f>
        <v>0</v>
      </c>
      <c r="Z13">
        <f>$AI$33</f>
        <v>4.7000000000000002E-3</v>
      </c>
      <c r="AA13">
        <f t="shared" ref="AA13:AA30" si="12">J13*K13*N13*Z13*V13</f>
        <v>1.6538645760000002E-3</v>
      </c>
      <c r="AB13">
        <f t="shared" ref="AB13:AB30" si="13">C13*Y13*365</f>
        <v>0</v>
      </c>
      <c r="AC13">
        <f t="shared" ref="AC13:AC30" si="14">C13*AA13*365</f>
        <v>4.22562399168</v>
      </c>
      <c r="AD13">
        <f t="shared" ref="AD13:AD30" si="15">(AB13+AC13)*10^-3</f>
        <v>4.2256239916799998E-3</v>
      </c>
      <c r="AE13" s="11">
        <f t="shared" si="2"/>
        <v>100922.5</v>
      </c>
      <c r="AF13">
        <f t="shared" si="3"/>
        <v>0.95155499999999993</v>
      </c>
      <c r="AI13" s="2" t="s">
        <v>24</v>
      </c>
      <c r="AJ13" s="2">
        <v>0.91</v>
      </c>
      <c r="AK13" s="2">
        <v>13.2</v>
      </c>
      <c r="AL13" s="2"/>
      <c r="AM13" s="2"/>
      <c r="AN13" s="2" t="s">
        <v>77</v>
      </c>
      <c r="AO13" s="2">
        <v>2.8999999999999998E-3</v>
      </c>
    </row>
    <row r="14" spans="1:41" ht="17">
      <c r="A14" s="3" t="s">
        <v>3</v>
      </c>
      <c r="B14" s="2" t="s">
        <v>7</v>
      </c>
      <c r="C14">
        <v>8</v>
      </c>
      <c r="D14" t="s">
        <v>58</v>
      </c>
      <c r="E14" s="2" t="s">
        <v>74</v>
      </c>
      <c r="G14" t="s">
        <v>99</v>
      </c>
      <c r="H14" t="str">
        <f t="shared" si="0"/>
        <v>wet</v>
      </c>
      <c r="I14" t="s">
        <v>67</v>
      </c>
      <c r="J14">
        <f t="shared" si="4"/>
        <v>2.73</v>
      </c>
      <c r="K14">
        <f>$AM$5</f>
        <v>0.19</v>
      </c>
      <c r="L14" t="s">
        <v>57</v>
      </c>
      <c r="M14">
        <f t="shared" si="5"/>
        <v>0</v>
      </c>
      <c r="N14">
        <f t="shared" si="6"/>
        <v>1</v>
      </c>
      <c r="O14">
        <f>$AJ$4</f>
        <v>1.5714285714285714</v>
      </c>
      <c r="P14">
        <f t="shared" si="7"/>
        <v>39.5</v>
      </c>
      <c r="Q14">
        <f t="shared" si="8"/>
        <v>7.0000000000000001E-3</v>
      </c>
      <c r="R14">
        <f t="shared" si="9"/>
        <v>0</v>
      </c>
      <c r="T14">
        <f>$AM$3</f>
        <v>0.24</v>
      </c>
      <c r="U14">
        <f>$AM$4</f>
        <v>0.11</v>
      </c>
      <c r="V14">
        <f>$AJ$5</f>
        <v>0.6784</v>
      </c>
      <c r="W14">
        <f t="shared" si="1"/>
        <v>6.0000000000000001E-3</v>
      </c>
      <c r="X14">
        <f t="shared" si="10"/>
        <v>0.78</v>
      </c>
      <c r="Y14">
        <f t="shared" si="11"/>
        <v>0</v>
      </c>
      <c r="Z14">
        <f>$AI$33</f>
        <v>4.7000000000000002E-3</v>
      </c>
      <c r="AA14">
        <f t="shared" si="12"/>
        <v>1.6538645760000002E-3</v>
      </c>
      <c r="AB14">
        <f t="shared" si="13"/>
        <v>0</v>
      </c>
      <c r="AC14">
        <f t="shared" si="14"/>
        <v>4.8292845619200007</v>
      </c>
      <c r="AD14">
        <f t="shared" si="15"/>
        <v>4.8292845619200006E-3</v>
      </c>
      <c r="AE14" s="11">
        <f t="shared" si="2"/>
        <v>115340</v>
      </c>
      <c r="AF14">
        <f t="shared" si="3"/>
        <v>1.0874914285714286</v>
      </c>
      <c r="AI14" s="2" t="s">
        <v>19</v>
      </c>
      <c r="AJ14" s="2">
        <v>2.73</v>
      </c>
      <c r="AK14" s="2">
        <v>39.5</v>
      </c>
      <c r="AL14" s="2"/>
      <c r="AM14" s="2"/>
      <c r="AN14" s="2" t="s">
        <v>78</v>
      </c>
      <c r="AO14" s="2">
        <v>8.0000000000000002E-3</v>
      </c>
    </row>
    <row r="15" spans="1:41" ht="17">
      <c r="A15" s="3" t="s">
        <v>25</v>
      </c>
      <c r="B15" s="2" t="s">
        <v>8</v>
      </c>
      <c r="C15">
        <v>9</v>
      </c>
      <c r="D15" t="s">
        <v>57</v>
      </c>
      <c r="E15" s="2" t="s">
        <v>76</v>
      </c>
      <c r="G15" t="s">
        <v>100</v>
      </c>
      <c r="H15" t="str">
        <f t="shared" si="0"/>
        <v>wet</v>
      </c>
      <c r="I15" t="s">
        <v>67</v>
      </c>
      <c r="J15">
        <f t="shared" si="4"/>
        <v>0.34</v>
      </c>
      <c r="K15">
        <f>$AM$5</f>
        <v>0.19</v>
      </c>
      <c r="L15" t="s">
        <v>57</v>
      </c>
      <c r="M15">
        <f t="shared" si="5"/>
        <v>0</v>
      </c>
      <c r="N15">
        <f t="shared" si="6"/>
        <v>1</v>
      </c>
      <c r="O15">
        <f>$AJ$4</f>
        <v>1.5714285714285714</v>
      </c>
      <c r="P15">
        <f t="shared" si="7"/>
        <v>7</v>
      </c>
      <c r="Q15">
        <f t="shared" si="8"/>
        <v>1.8E-3</v>
      </c>
      <c r="R15">
        <f t="shared" si="9"/>
        <v>1</v>
      </c>
      <c r="T15">
        <f>$AM$3</f>
        <v>0.24</v>
      </c>
      <c r="U15">
        <f>$AM$4</f>
        <v>0.11</v>
      </c>
      <c r="V15">
        <f>$AJ$5</f>
        <v>0.6784</v>
      </c>
      <c r="W15">
        <f t="shared" si="1"/>
        <v>6.0000000000000001E-3</v>
      </c>
      <c r="X15">
        <f t="shared" si="10"/>
        <v>0.78</v>
      </c>
      <c r="Y15">
        <f t="shared" si="11"/>
        <v>0</v>
      </c>
      <c r="Z15">
        <f>$AI$33</f>
        <v>4.7000000000000002E-3</v>
      </c>
      <c r="AA15">
        <f t="shared" si="12"/>
        <v>2.0597580800000003E-4</v>
      </c>
      <c r="AB15">
        <f t="shared" si="13"/>
        <v>0</v>
      </c>
      <c r="AC15">
        <f t="shared" si="14"/>
        <v>0.67663052928000011</v>
      </c>
      <c r="AD15">
        <f t="shared" si="15"/>
        <v>6.7663052928000015E-4</v>
      </c>
      <c r="AE15" s="11">
        <f t="shared" si="2"/>
        <v>22995</v>
      </c>
      <c r="AF15">
        <f t="shared" si="3"/>
        <v>0.21681</v>
      </c>
      <c r="AI15" s="2" t="s">
        <v>20</v>
      </c>
      <c r="AJ15" s="2">
        <v>0.34</v>
      </c>
      <c r="AK15" s="2">
        <v>7</v>
      </c>
      <c r="AL15" s="2"/>
      <c r="AM15" s="2"/>
      <c r="AN15" s="2" t="s">
        <v>79</v>
      </c>
      <c r="AO15" s="2">
        <v>1.9900000000000001E-2</v>
      </c>
    </row>
    <row r="16" spans="1:41" ht="17">
      <c r="A16" s="3" t="s">
        <v>25</v>
      </c>
      <c r="B16" s="2" t="s">
        <v>9</v>
      </c>
      <c r="C16">
        <v>10</v>
      </c>
      <c r="D16" t="s">
        <v>58</v>
      </c>
      <c r="E16" s="2" t="s">
        <v>77</v>
      </c>
      <c r="G16" t="s">
        <v>101</v>
      </c>
      <c r="H16" t="str">
        <f t="shared" si="0"/>
        <v>wet</v>
      </c>
      <c r="I16" s="2" t="s">
        <v>28</v>
      </c>
      <c r="J16">
        <f t="shared" si="4"/>
        <v>0.34</v>
      </c>
      <c r="K16">
        <f>$AM$5</f>
        <v>0.19</v>
      </c>
      <c r="L16" t="s">
        <v>57</v>
      </c>
      <c r="M16">
        <f t="shared" si="5"/>
        <v>0</v>
      </c>
      <c r="N16">
        <f t="shared" si="6"/>
        <v>1</v>
      </c>
      <c r="O16">
        <f>$AJ$4</f>
        <v>1.5714285714285714</v>
      </c>
      <c r="P16">
        <f t="shared" si="7"/>
        <v>7</v>
      </c>
      <c r="Q16">
        <f t="shared" si="8"/>
        <v>2.8999999999999998E-3</v>
      </c>
      <c r="R16">
        <f t="shared" si="9"/>
        <v>0</v>
      </c>
      <c r="T16">
        <f>$AM$3</f>
        <v>0.24</v>
      </c>
      <c r="U16">
        <f>$AM$4</f>
        <v>0.11</v>
      </c>
      <c r="V16">
        <f>$AJ$5</f>
        <v>0.6784</v>
      </c>
      <c r="W16">
        <f t="shared" si="1"/>
        <v>6.0000000000000001E-3</v>
      </c>
      <c r="X16">
        <f t="shared" si="10"/>
        <v>0.71</v>
      </c>
      <c r="Y16">
        <f t="shared" si="11"/>
        <v>0</v>
      </c>
      <c r="Z16">
        <f>$AI$33</f>
        <v>4.7000000000000002E-3</v>
      </c>
      <c r="AA16">
        <f t="shared" si="12"/>
        <v>2.0597580800000003E-4</v>
      </c>
      <c r="AB16">
        <f t="shared" si="13"/>
        <v>0</v>
      </c>
      <c r="AC16">
        <f t="shared" si="14"/>
        <v>0.75181169920000002</v>
      </c>
      <c r="AD16">
        <f t="shared" si="15"/>
        <v>7.518116992E-4</v>
      </c>
      <c r="AE16" s="11">
        <f t="shared" si="2"/>
        <v>25550</v>
      </c>
      <c r="AF16">
        <f t="shared" si="3"/>
        <v>0.2409</v>
      </c>
      <c r="AI16" s="2" t="s">
        <v>21</v>
      </c>
      <c r="AJ16" s="2">
        <v>2.73</v>
      </c>
      <c r="AK16" s="2">
        <v>39.5</v>
      </c>
      <c r="AL16" s="2"/>
      <c r="AM16" s="2"/>
      <c r="AN16" s="2" t="s">
        <v>80</v>
      </c>
      <c r="AO16" s="2">
        <v>5.3E-3</v>
      </c>
    </row>
    <row r="17" spans="1:41" ht="17">
      <c r="A17" s="3" t="s">
        <v>25</v>
      </c>
      <c r="B17" s="2" t="s">
        <v>10</v>
      </c>
      <c r="C17">
        <v>11</v>
      </c>
      <c r="D17" t="s">
        <v>57</v>
      </c>
      <c r="E17" s="2" t="s">
        <v>78</v>
      </c>
      <c r="G17" t="s">
        <v>102</v>
      </c>
      <c r="H17" t="str">
        <f t="shared" si="0"/>
        <v>dry</v>
      </c>
      <c r="I17" s="2" t="s">
        <v>65</v>
      </c>
      <c r="J17">
        <f t="shared" si="4"/>
        <v>0.34</v>
      </c>
      <c r="K17">
        <f>$AM$5</f>
        <v>0.19</v>
      </c>
      <c r="L17" t="s">
        <v>57</v>
      </c>
      <c r="M17">
        <f t="shared" si="5"/>
        <v>0</v>
      </c>
      <c r="N17">
        <f t="shared" si="6"/>
        <v>1</v>
      </c>
      <c r="O17">
        <f>$AJ$4</f>
        <v>1.5714285714285714</v>
      </c>
      <c r="P17">
        <f t="shared" si="7"/>
        <v>7</v>
      </c>
      <c r="Q17">
        <f t="shared" si="8"/>
        <v>8.0000000000000002E-3</v>
      </c>
      <c r="R17">
        <f t="shared" si="9"/>
        <v>1</v>
      </c>
      <c r="T17">
        <f>$AM$3</f>
        <v>0.24</v>
      </c>
      <c r="U17">
        <f>$AM$4</f>
        <v>0.11</v>
      </c>
      <c r="V17">
        <f>$AJ$5</f>
        <v>0.6784</v>
      </c>
      <c r="W17">
        <f t="shared" si="1"/>
        <v>2E-3</v>
      </c>
      <c r="X17">
        <f t="shared" si="10"/>
        <v>0.75</v>
      </c>
      <c r="Y17">
        <f t="shared" si="11"/>
        <v>0</v>
      </c>
      <c r="Z17">
        <f>$AI$33</f>
        <v>4.7000000000000002E-3</v>
      </c>
      <c r="AA17">
        <f t="shared" si="12"/>
        <v>2.0597580800000003E-4</v>
      </c>
      <c r="AB17">
        <f t="shared" si="13"/>
        <v>0</v>
      </c>
      <c r="AC17">
        <f t="shared" si="14"/>
        <v>0.82699286912000003</v>
      </c>
      <c r="AD17">
        <f t="shared" si="15"/>
        <v>8.2699286912000006E-4</v>
      </c>
      <c r="AE17" s="11">
        <f t="shared" si="2"/>
        <v>28105</v>
      </c>
      <c r="AF17">
        <f t="shared" si="3"/>
        <v>8.8330000000000006E-2</v>
      </c>
      <c r="AI17" s="2" t="s">
        <v>22</v>
      </c>
      <c r="AJ17" s="2">
        <v>0.91</v>
      </c>
      <c r="AK17" s="2">
        <v>13.2</v>
      </c>
      <c r="AL17" s="2"/>
      <c r="AM17" s="2"/>
      <c r="AN17" s="2" t="s">
        <v>81</v>
      </c>
      <c r="AO17" s="2">
        <v>6.4000000000000003E-3</v>
      </c>
    </row>
    <row r="18" spans="1:41" ht="17">
      <c r="A18" s="3" t="s">
        <v>25</v>
      </c>
      <c r="B18" s="2" t="s">
        <v>11</v>
      </c>
      <c r="C18">
        <v>12</v>
      </c>
      <c r="D18" t="s">
        <v>58</v>
      </c>
      <c r="E18" s="2" t="s">
        <v>79</v>
      </c>
      <c r="G18" t="s">
        <v>103</v>
      </c>
      <c r="H18" t="str">
        <f t="shared" si="0"/>
        <v>dry</v>
      </c>
      <c r="I18" s="2" t="s">
        <v>66</v>
      </c>
      <c r="J18">
        <f t="shared" si="4"/>
        <v>0.34</v>
      </c>
      <c r="K18">
        <f>$AM$5</f>
        <v>0.19</v>
      </c>
      <c r="L18" t="s">
        <v>57</v>
      </c>
      <c r="M18">
        <f t="shared" si="5"/>
        <v>0</v>
      </c>
      <c r="N18">
        <f t="shared" si="6"/>
        <v>1</v>
      </c>
      <c r="O18">
        <f>$AJ$4</f>
        <v>1.5714285714285714</v>
      </c>
      <c r="P18">
        <f t="shared" si="7"/>
        <v>7</v>
      </c>
      <c r="Q18">
        <f t="shared" si="8"/>
        <v>1.9900000000000001E-2</v>
      </c>
      <c r="R18">
        <f t="shared" si="9"/>
        <v>0</v>
      </c>
      <c r="T18">
        <f>$AM$3</f>
        <v>0.24</v>
      </c>
      <c r="U18">
        <f>$AM$4</f>
        <v>0.11</v>
      </c>
      <c r="V18">
        <f>$AJ$5</f>
        <v>0.6784</v>
      </c>
      <c r="W18">
        <f t="shared" si="1"/>
        <v>2E-3</v>
      </c>
      <c r="X18">
        <f t="shared" si="10"/>
        <v>0.8</v>
      </c>
      <c r="Y18">
        <f t="shared" si="11"/>
        <v>0</v>
      </c>
      <c r="Z18">
        <f>$AI$33</f>
        <v>4.7000000000000002E-3</v>
      </c>
      <c r="AA18">
        <f t="shared" si="12"/>
        <v>2.0597580800000003E-4</v>
      </c>
      <c r="AB18">
        <f t="shared" si="13"/>
        <v>0</v>
      </c>
      <c r="AC18">
        <f t="shared" si="14"/>
        <v>0.90217403904000026</v>
      </c>
      <c r="AD18">
        <f t="shared" si="15"/>
        <v>9.0217403904000024E-4</v>
      </c>
      <c r="AE18" s="11">
        <f t="shared" si="2"/>
        <v>30660</v>
      </c>
      <c r="AF18">
        <f t="shared" si="3"/>
        <v>9.6360000000000001E-2</v>
      </c>
      <c r="AI18" s="2" t="s">
        <v>64</v>
      </c>
      <c r="AJ18" s="2">
        <v>0.34</v>
      </c>
      <c r="AK18" s="2">
        <v>7</v>
      </c>
      <c r="AL18" s="2"/>
      <c r="AM18" s="10"/>
      <c r="AN18" s="2" t="s">
        <v>82</v>
      </c>
      <c r="AO18" s="2">
        <v>2.5999999999999999E-3</v>
      </c>
    </row>
    <row r="19" spans="1:41" ht="17">
      <c r="A19" s="3" t="s">
        <v>25</v>
      </c>
      <c r="B19" s="2" t="s">
        <v>12</v>
      </c>
      <c r="C19">
        <v>13</v>
      </c>
      <c r="D19" t="s">
        <v>57</v>
      </c>
      <c r="E19" s="2" t="s">
        <v>80</v>
      </c>
      <c r="G19" t="s">
        <v>104</v>
      </c>
      <c r="H19" t="str">
        <f t="shared" si="0"/>
        <v>dry</v>
      </c>
      <c r="I19" s="2" t="s">
        <v>67</v>
      </c>
      <c r="J19">
        <f t="shared" si="4"/>
        <v>0.34</v>
      </c>
      <c r="K19">
        <f>$AM$5</f>
        <v>0.19</v>
      </c>
      <c r="L19" t="s">
        <v>57</v>
      </c>
      <c r="M19">
        <f t="shared" si="5"/>
        <v>0</v>
      </c>
      <c r="N19">
        <f t="shared" si="6"/>
        <v>1</v>
      </c>
      <c r="O19">
        <f>$AJ$4</f>
        <v>1.5714285714285714</v>
      </c>
      <c r="P19">
        <f t="shared" si="7"/>
        <v>7</v>
      </c>
      <c r="Q19">
        <f t="shared" si="8"/>
        <v>5.3E-3</v>
      </c>
      <c r="R19">
        <f t="shared" si="9"/>
        <v>1</v>
      </c>
      <c r="T19">
        <f>$AM$3</f>
        <v>0.24</v>
      </c>
      <c r="U19">
        <f>$AM$4</f>
        <v>0.11</v>
      </c>
      <c r="V19">
        <f>$AJ$5</f>
        <v>0.6784</v>
      </c>
      <c r="W19">
        <f t="shared" si="1"/>
        <v>2E-3</v>
      </c>
      <c r="X19">
        <f t="shared" si="10"/>
        <v>0.78</v>
      </c>
      <c r="Y19">
        <f t="shared" si="11"/>
        <v>0</v>
      </c>
      <c r="Z19">
        <f>$AI$33</f>
        <v>4.7000000000000002E-3</v>
      </c>
      <c r="AA19">
        <f t="shared" si="12"/>
        <v>2.0597580800000003E-4</v>
      </c>
      <c r="AB19">
        <f t="shared" si="13"/>
        <v>0</v>
      </c>
      <c r="AC19">
        <f t="shared" si="14"/>
        <v>0.97735520896000017</v>
      </c>
      <c r="AD19">
        <f t="shared" si="15"/>
        <v>9.7735520896000019E-4</v>
      </c>
      <c r="AE19" s="11">
        <f t="shared" si="2"/>
        <v>33215</v>
      </c>
      <c r="AF19">
        <f t="shared" si="3"/>
        <v>0.10439000000000001</v>
      </c>
      <c r="AL19" s="2"/>
      <c r="AM19" s="10"/>
      <c r="AN19" s="2" t="s">
        <v>83</v>
      </c>
      <c r="AO19" s="2">
        <v>3.0000000000000001E-3</v>
      </c>
    </row>
    <row r="20" spans="1:41" ht="17">
      <c r="A20" s="3" t="s">
        <v>25</v>
      </c>
      <c r="B20" s="2" t="s">
        <v>13</v>
      </c>
      <c r="C20">
        <v>14</v>
      </c>
      <c r="D20" t="s">
        <v>58</v>
      </c>
      <c r="E20" s="2" t="s">
        <v>81</v>
      </c>
      <c r="G20" t="s">
        <v>105</v>
      </c>
      <c r="H20" t="str">
        <f t="shared" si="0"/>
        <v>dry</v>
      </c>
      <c r="I20" s="2" t="s">
        <v>68</v>
      </c>
      <c r="J20">
        <f t="shared" si="4"/>
        <v>0.34</v>
      </c>
      <c r="K20">
        <f>$AM$5</f>
        <v>0.19</v>
      </c>
      <c r="L20" t="s">
        <v>57</v>
      </c>
      <c r="M20">
        <f t="shared" si="5"/>
        <v>0</v>
      </c>
      <c r="N20">
        <f t="shared" si="6"/>
        <v>1</v>
      </c>
      <c r="O20">
        <f>$AJ$4</f>
        <v>1.5714285714285714</v>
      </c>
      <c r="P20">
        <f t="shared" si="7"/>
        <v>7</v>
      </c>
      <c r="Q20">
        <f t="shared" si="8"/>
        <v>6.4000000000000003E-3</v>
      </c>
      <c r="R20">
        <f t="shared" si="9"/>
        <v>0</v>
      </c>
      <c r="T20">
        <f>$AM$3</f>
        <v>0.24</v>
      </c>
      <c r="U20">
        <f>$AM$4</f>
        <v>0.11</v>
      </c>
      <c r="V20">
        <f>$AJ$5</f>
        <v>0.6784</v>
      </c>
      <c r="W20">
        <f t="shared" si="1"/>
        <v>2E-3</v>
      </c>
      <c r="X20">
        <f t="shared" si="10"/>
        <v>0.74</v>
      </c>
      <c r="Y20">
        <f t="shared" si="11"/>
        <v>0</v>
      </c>
      <c r="Z20">
        <f>$AI$33</f>
        <v>4.7000000000000002E-3</v>
      </c>
      <c r="AA20">
        <f t="shared" si="12"/>
        <v>2.0597580800000003E-4</v>
      </c>
      <c r="AB20">
        <f t="shared" si="13"/>
        <v>0</v>
      </c>
      <c r="AC20">
        <f t="shared" si="14"/>
        <v>1.0525363788800002</v>
      </c>
      <c r="AD20">
        <f t="shared" si="15"/>
        <v>1.0525363788800003E-3</v>
      </c>
      <c r="AE20" s="11">
        <f t="shared" si="2"/>
        <v>35770</v>
      </c>
      <c r="AF20">
        <f t="shared" si="3"/>
        <v>0.11242000000000001</v>
      </c>
      <c r="AL20" s="2"/>
      <c r="AM20" s="2"/>
      <c r="AN20" s="2" t="s">
        <v>84</v>
      </c>
      <c r="AO20" s="2">
        <v>5.0000000000000001E-3</v>
      </c>
    </row>
    <row r="21" spans="1:41" ht="17">
      <c r="A21" s="3" t="s">
        <v>25</v>
      </c>
      <c r="B21" s="2" t="s">
        <v>14</v>
      </c>
      <c r="C21">
        <v>15</v>
      </c>
      <c r="D21" t="s">
        <v>57</v>
      </c>
      <c r="E21" s="2" t="s">
        <v>82</v>
      </c>
      <c r="G21" t="s">
        <v>96</v>
      </c>
      <c r="H21" t="str">
        <f t="shared" si="0"/>
        <v>wet</v>
      </c>
      <c r="I21" s="2" t="s">
        <v>69</v>
      </c>
      <c r="J21">
        <f t="shared" si="4"/>
        <v>0.34</v>
      </c>
      <c r="K21">
        <f>$AM$5</f>
        <v>0.19</v>
      </c>
      <c r="L21" t="s">
        <v>57</v>
      </c>
      <c r="M21">
        <f t="shared" si="5"/>
        <v>0</v>
      </c>
      <c r="N21">
        <f t="shared" si="6"/>
        <v>1</v>
      </c>
      <c r="O21">
        <f>$AJ$4</f>
        <v>1.5714285714285714</v>
      </c>
      <c r="P21">
        <f t="shared" si="7"/>
        <v>7</v>
      </c>
      <c r="Q21">
        <f t="shared" si="8"/>
        <v>2.5999999999999999E-3</v>
      </c>
      <c r="R21">
        <f t="shared" si="9"/>
        <v>1</v>
      </c>
      <c r="T21">
        <f>$AM$3</f>
        <v>0.24</v>
      </c>
      <c r="U21">
        <f>$AM$4</f>
        <v>0.11</v>
      </c>
      <c r="V21">
        <f>$AJ$5</f>
        <v>0.6784</v>
      </c>
      <c r="W21">
        <f t="shared" si="1"/>
        <v>6.0000000000000001E-3</v>
      </c>
      <c r="X21">
        <f t="shared" si="10"/>
        <v>0.7</v>
      </c>
      <c r="Y21">
        <f t="shared" si="11"/>
        <v>0</v>
      </c>
      <c r="Z21">
        <f>$AI$33</f>
        <v>4.7000000000000002E-3</v>
      </c>
      <c r="AA21">
        <f t="shared" si="12"/>
        <v>2.0597580800000003E-4</v>
      </c>
      <c r="AB21">
        <f t="shared" si="13"/>
        <v>0</v>
      </c>
      <c r="AC21">
        <f t="shared" si="14"/>
        <v>1.1277175488000002</v>
      </c>
      <c r="AD21">
        <f t="shared" si="15"/>
        <v>1.1277175488000003E-3</v>
      </c>
      <c r="AE21" s="11">
        <f t="shared" si="2"/>
        <v>38325</v>
      </c>
      <c r="AF21">
        <f t="shared" si="3"/>
        <v>0.36135</v>
      </c>
      <c r="AI21" s="2" t="s">
        <v>26</v>
      </c>
      <c r="AJ21" t="s">
        <v>29</v>
      </c>
      <c r="AL21" s="2"/>
      <c r="AM21" s="2"/>
      <c r="AN21" s="2" t="s">
        <v>82</v>
      </c>
      <c r="AO21" s="2">
        <v>2.5999999999999999E-3</v>
      </c>
    </row>
    <row r="22" spans="1:41" ht="17">
      <c r="A22" s="3" t="s">
        <v>24</v>
      </c>
      <c r="B22" s="2" t="s">
        <v>15</v>
      </c>
      <c r="C22">
        <v>16</v>
      </c>
      <c r="D22" t="s">
        <v>58</v>
      </c>
      <c r="E22" s="2" t="s">
        <v>83</v>
      </c>
      <c r="G22" t="s">
        <v>97</v>
      </c>
      <c r="H22" t="str">
        <f t="shared" si="0"/>
        <v>wet</v>
      </c>
      <c r="I22" s="2" t="s">
        <v>70</v>
      </c>
      <c r="J22">
        <f t="shared" si="4"/>
        <v>0.91</v>
      </c>
      <c r="K22">
        <f>$AM$5</f>
        <v>0.19</v>
      </c>
      <c r="L22" t="s">
        <v>57</v>
      </c>
      <c r="M22">
        <f t="shared" si="5"/>
        <v>0</v>
      </c>
      <c r="N22">
        <f t="shared" si="6"/>
        <v>1</v>
      </c>
      <c r="O22">
        <f>$AJ$4</f>
        <v>1.5714285714285714</v>
      </c>
      <c r="P22">
        <f t="shared" si="7"/>
        <v>13.2</v>
      </c>
      <c r="Q22">
        <f t="shared" si="8"/>
        <v>3.0000000000000001E-3</v>
      </c>
      <c r="R22">
        <f t="shared" si="9"/>
        <v>0</v>
      </c>
      <c r="T22">
        <f>$AM$3</f>
        <v>0.24</v>
      </c>
      <c r="U22">
        <f>$AM$4</f>
        <v>0.11</v>
      </c>
      <c r="V22">
        <f>$AJ$5</f>
        <v>0.6784</v>
      </c>
      <c r="W22">
        <f t="shared" si="1"/>
        <v>6.0000000000000001E-3</v>
      </c>
      <c r="X22">
        <f t="shared" si="10"/>
        <v>0.74</v>
      </c>
      <c r="Y22">
        <f t="shared" si="11"/>
        <v>0</v>
      </c>
      <c r="Z22">
        <f>$AI$33</f>
        <v>4.7000000000000002E-3</v>
      </c>
      <c r="AA22">
        <f t="shared" si="12"/>
        <v>5.5128819200000003E-4</v>
      </c>
      <c r="AB22">
        <f t="shared" si="13"/>
        <v>0</v>
      </c>
      <c r="AC22">
        <f t="shared" si="14"/>
        <v>3.21952304128</v>
      </c>
      <c r="AD22">
        <f t="shared" si="15"/>
        <v>3.21952304128E-3</v>
      </c>
      <c r="AE22" s="11">
        <f t="shared" si="2"/>
        <v>77088</v>
      </c>
      <c r="AF22">
        <f t="shared" si="3"/>
        <v>0.7268297142857143</v>
      </c>
      <c r="AI22" s="2" t="s">
        <v>27</v>
      </c>
      <c r="AN22" s="2" t="s">
        <v>85</v>
      </c>
      <c r="AO22" s="2">
        <v>1.8E-3</v>
      </c>
    </row>
    <row r="23" spans="1:41" ht="17">
      <c r="A23" s="3" t="s">
        <v>24</v>
      </c>
      <c r="B23" s="2" t="s">
        <v>16</v>
      </c>
      <c r="C23">
        <v>17</v>
      </c>
      <c r="D23" t="s">
        <v>57</v>
      </c>
      <c r="E23" s="2" t="s">
        <v>84</v>
      </c>
      <c r="G23" t="s">
        <v>98</v>
      </c>
      <c r="H23" t="str">
        <f t="shared" si="0"/>
        <v>wet</v>
      </c>
      <c r="I23" s="2" t="s">
        <v>71</v>
      </c>
      <c r="J23">
        <f t="shared" si="4"/>
        <v>0.91</v>
      </c>
      <c r="K23">
        <f>$AM$5</f>
        <v>0.19</v>
      </c>
      <c r="L23" t="s">
        <v>57</v>
      </c>
      <c r="M23">
        <f t="shared" si="5"/>
        <v>0</v>
      </c>
      <c r="N23">
        <f t="shared" si="6"/>
        <v>1</v>
      </c>
      <c r="O23">
        <f>$AJ$4</f>
        <v>1.5714285714285714</v>
      </c>
      <c r="P23">
        <f t="shared" si="7"/>
        <v>13.2</v>
      </c>
      <c r="Q23">
        <f t="shared" si="8"/>
        <v>5.0000000000000001E-3</v>
      </c>
      <c r="R23">
        <f t="shared" si="9"/>
        <v>1</v>
      </c>
      <c r="T23">
        <f>$AM$3</f>
        <v>0.24</v>
      </c>
      <c r="U23">
        <f>$AM$4</f>
        <v>0.11</v>
      </c>
      <c r="V23">
        <f>$AJ$5</f>
        <v>0.6784</v>
      </c>
      <c r="W23">
        <f t="shared" si="1"/>
        <v>6.0000000000000001E-3</v>
      </c>
      <c r="X23">
        <f t="shared" si="10"/>
        <v>0.76</v>
      </c>
      <c r="Y23">
        <f t="shared" si="11"/>
        <v>0</v>
      </c>
      <c r="Z23">
        <f>$AI$33</f>
        <v>4.7000000000000002E-3</v>
      </c>
      <c r="AA23">
        <f t="shared" si="12"/>
        <v>5.5128819200000003E-4</v>
      </c>
      <c r="AB23">
        <f t="shared" si="13"/>
        <v>0</v>
      </c>
      <c r="AC23">
        <f t="shared" si="14"/>
        <v>3.4207432313599999</v>
      </c>
      <c r="AD23">
        <f t="shared" si="15"/>
        <v>3.4207432313600001E-3</v>
      </c>
      <c r="AE23" s="11">
        <f t="shared" si="2"/>
        <v>81905.999999999985</v>
      </c>
      <c r="AF23">
        <f t="shared" si="3"/>
        <v>0.77225657142857129</v>
      </c>
      <c r="AI23" s="2" t="s">
        <v>28</v>
      </c>
      <c r="AJ23" s="2">
        <v>0.71</v>
      </c>
      <c r="AL23" s="2"/>
    </row>
    <row r="24" spans="1:41" ht="17">
      <c r="A24" s="3" t="s">
        <v>24</v>
      </c>
      <c r="B24" s="2" t="s">
        <v>17</v>
      </c>
      <c r="C24">
        <v>18</v>
      </c>
      <c r="D24" t="s">
        <v>58</v>
      </c>
      <c r="E24" s="2" t="s">
        <v>82</v>
      </c>
      <c r="G24" t="s">
        <v>99</v>
      </c>
      <c r="H24" t="str">
        <f t="shared" si="0"/>
        <v>wet</v>
      </c>
      <c r="I24" s="2" t="s">
        <v>28</v>
      </c>
      <c r="J24">
        <f t="shared" si="4"/>
        <v>0.91</v>
      </c>
      <c r="K24">
        <f>$AM$5</f>
        <v>0.19</v>
      </c>
      <c r="L24" t="s">
        <v>58</v>
      </c>
      <c r="M24">
        <f t="shared" si="5"/>
        <v>5.0000000000000044E-2</v>
      </c>
      <c r="N24">
        <f t="shared" si="6"/>
        <v>0.95</v>
      </c>
      <c r="O24">
        <f>$AJ$4</f>
        <v>1.5714285714285714</v>
      </c>
      <c r="P24">
        <f t="shared" si="7"/>
        <v>13.2</v>
      </c>
      <c r="Q24">
        <f t="shared" si="8"/>
        <v>2.5999999999999999E-3</v>
      </c>
      <c r="R24">
        <f t="shared" si="9"/>
        <v>0</v>
      </c>
      <c r="T24">
        <f>$AM$3</f>
        <v>0.24</v>
      </c>
      <c r="U24">
        <f>$AM$4</f>
        <v>0.11</v>
      </c>
      <c r="V24">
        <f>$AJ$5</f>
        <v>0.6784</v>
      </c>
      <c r="W24">
        <f t="shared" si="1"/>
        <v>6.0000000000000001E-3</v>
      </c>
      <c r="X24">
        <f t="shared" si="10"/>
        <v>0.71</v>
      </c>
      <c r="Y24">
        <f t="shared" si="11"/>
        <v>4.1639852800000035E-3</v>
      </c>
      <c r="Z24">
        <f>$AI$33</f>
        <v>4.7000000000000002E-3</v>
      </c>
      <c r="AA24">
        <f t="shared" si="12"/>
        <v>5.2372378239999996E-4</v>
      </c>
      <c r="AB24">
        <f t="shared" si="13"/>
        <v>27.357383289600023</v>
      </c>
      <c r="AC24">
        <f t="shared" si="14"/>
        <v>3.4408652503679997</v>
      </c>
      <c r="AD24">
        <f t="shared" si="15"/>
        <v>3.0798248539968022E-2</v>
      </c>
      <c r="AE24" s="11">
        <f t="shared" si="2"/>
        <v>86724</v>
      </c>
      <c r="AF24">
        <f t="shared" si="3"/>
        <v>0.81768342857142862</v>
      </c>
      <c r="AI24" s="2" t="s">
        <v>65</v>
      </c>
      <c r="AJ24" s="2">
        <v>0.75</v>
      </c>
      <c r="AL24" s="2"/>
      <c r="AM24" s="2"/>
    </row>
    <row r="25" spans="1:41" ht="17">
      <c r="A25" s="3" t="s">
        <v>24</v>
      </c>
      <c r="B25" s="2" t="s">
        <v>18</v>
      </c>
      <c r="C25">
        <v>19</v>
      </c>
      <c r="D25" t="s">
        <v>57</v>
      </c>
      <c r="E25" s="2" t="s">
        <v>85</v>
      </c>
      <c r="G25" t="s">
        <v>100</v>
      </c>
      <c r="H25" t="str">
        <f t="shared" si="0"/>
        <v>wet</v>
      </c>
      <c r="I25" s="2" t="s">
        <v>65</v>
      </c>
      <c r="J25">
        <f t="shared" si="4"/>
        <v>0.91</v>
      </c>
      <c r="K25">
        <f>$AM$5</f>
        <v>0.19</v>
      </c>
      <c r="L25" t="s">
        <v>58</v>
      </c>
      <c r="M25">
        <f t="shared" si="5"/>
        <v>5.0000000000000044E-2</v>
      </c>
      <c r="N25">
        <f t="shared" si="6"/>
        <v>0.95</v>
      </c>
      <c r="O25">
        <f>$AJ$4</f>
        <v>1.5714285714285714</v>
      </c>
      <c r="P25">
        <f t="shared" si="7"/>
        <v>13.2</v>
      </c>
      <c r="Q25">
        <f t="shared" si="8"/>
        <v>1.8E-3</v>
      </c>
      <c r="R25">
        <f t="shared" si="9"/>
        <v>1</v>
      </c>
      <c r="T25">
        <f>$AM$3</f>
        <v>0.24</v>
      </c>
      <c r="U25">
        <f>$AM$4</f>
        <v>0.11</v>
      </c>
      <c r="V25">
        <f>$AJ$5</f>
        <v>0.6784</v>
      </c>
      <c r="W25">
        <f t="shared" si="1"/>
        <v>6.0000000000000001E-3</v>
      </c>
      <c r="X25">
        <f t="shared" si="10"/>
        <v>0.75</v>
      </c>
      <c r="Y25">
        <f t="shared" si="11"/>
        <v>4.3985760000000039E-3</v>
      </c>
      <c r="Z25">
        <f>$AI$33</f>
        <v>4.7000000000000002E-3</v>
      </c>
      <c r="AA25">
        <f t="shared" si="12"/>
        <v>5.2372378239999996E-4</v>
      </c>
      <c r="AB25">
        <f t="shared" si="13"/>
        <v>30.504124560000029</v>
      </c>
      <c r="AC25">
        <f t="shared" si="14"/>
        <v>3.6320244309439995</v>
      </c>
      <c r="AD25">
        <f t="shared" si="15"/>
        <v>3.4136148990944033E-2</v>
      </c>
      <c r="AE25" s="11">
        <f t="shared" si="2"/>
        <v>91542</v>
      </c>
      <c r="AF25">
        <f t="shared" si="3"/>
        <v>0.86311028571428583</v>
      </c>
      <c r="AI25" s="2" t="s">
        <v>66</v>
      </c>
      <c r="AJ25" s="2">
        <v>0.8</v>
      </c>
      <c r="AL25" s="2"/>
      <c r="AM25" s="2"/>
    </row>
    <row r="26" spans="1:41">
      <c r="A26" s="2" t="s">
        <v>19</v>
      </c>
      <c r="B26" s="2" t="s">
        <v>19</v>
      </c>
      <c r="C26">
        <v>20</v>
      </c>
      <c r="D26" t="s">
        <v>58</v>
      </c>
      <c r="E26" s="2" t="s">
        <v>75</v>
      </c>
      <c r="G26" t="s">
        <v>101</v>
      </c>
      <c r="H26" t="str">
        <f t="shared" si="0"/>
        <v>wet</v>
      </c>
      <c r="I26" s="2" t="s">
        <v>66</v>
      </c>
      <c r="J26">
        <f t="shared" si="4"/>
        <v>2.73</v>
      </c>
      <c r="K26">
        <f>$AM$5</f>
        <v>0.19</v>
      </c>
      <c r="L26" t="s">
        <v>58</v>
      </c>
      <c r="M26">
        <f t="shared" si="5"/>
        <v>5.0000000000000044E-2</v>
      </c>
      <c r="N26">
        <f t="shared" si="6"/>
        <v>0.95</v>
      </c>
      <c r="O26">
        <f>$AJ$4</f>
        <v>1.5714285714285714</v>
      </c>
      <c r="P26">
        <f t="shared" si="7"/>
        <v>39.5</v>
      </c>
      <c r="Q26">
        <f t="shared" si="8"/>
        <v>5.8999999999999999E-3</v>
      </c>
      <c r="R26">
        <f t="shared" si="9"/>
        <v>0</v>
      </c>
      <c r="T26">
        <f>$AM$3</f>
        <v>0.24</v>
      </c>
      <c r="U26">
        <f>$AM$4</f>
        <v>0.11</v>
      </c>
      <c r="V26">
        <f>$AJ$5</f>
        <v>0.6784</v>
      </c>
      <c r="W26">
        <f t="shared" si="1"/>
        <v>6.0000000000000001E-3</v>
      </c>
      <c r="X26">
        <f t="shared" si="10"/>
        <v>0.8</v>
      </c>
      <c r="Y26">
        <f t="shared" si="11"/>
        <v>1.4075443200000013E-2</v>
      </c>
      <c r="Z26">
        <f>$AI$33</f>
        <v>4.7000000000000002E-3</v>
      </c>
      <c r="AA26">
        <f t="shared" si="12"/>
        <v>1.5711713472E-3</v>
      </c>
      <c r="AB26">
        <f t="shared" si="13"/>
        <v>102.75073536000009</v>
      </c>
      <c r="AC26">
        <f t="shared" si="14"/>
        <v>11.46955083456</v>
      </c>
      <c r="AD26">
        <f t="shared" si="15"/>
        <v>0.11422028619456009</v>
      </c>
      <c r="AE26" s="11">
        <f t="shared" si="2"/>
        <v>288350</v>
      </c>
      <c r="AF26">
        <f t="shared" si="3"/>
        <v>2.7187285714285716</v>
      </c>
      <c r="AI26" s="2" t="s">
        <v>67</v>
      </c>
      <c r="AJ26" s="2">
        <v>0.78</v>
      </c>
      <c r="AL26" s="2"/>
      <c r="AM26" s="2"/>
    </row>
    <row r="27" spans="1:41">
      <c r="A27" s="2" t="s">
        <v>20</v>
      </c>
      <c r="B27" s="2" t="s">
        <v>20</v>
      </c>
      <c r="C27">
        <v>21</v>
      </c>
      <c r="D27" t="s">
        <v>57</v>
      </c>
      <c r="E27" s="2" t="s">
        <v>74</v>
      </c>
      <c r="G27" t="s">
        <v>102</v>
      </c>
      <c r="H27" t="str">
        <f t="shared" si="0"/>
        <v>dry</v>
      </c>
      <c r="I27" s="2" t="s">
        <v>67</v>
      </c>
      <c r="J27">
        <f t="shared" si="4"/>
        <v>0.34</v>
      </c>
      <c r="K27">
        <f>$AM$5</f>
        <v>0.19</v>
      </c>
      <c r="L27" t="s">
        <v>58</v>
      </c>
      <c r="M27">
        <f t="shared" si="5"/>
        <v>5.0000000000000044E-2</v>
      </c>
      <c r="N27">
        <f t="shared" si="6"/>
        <v>0.95</v>
      </c>
      <c r="O27">
        <f>$AJ$4</f>
        <v>1.5714285714285714</v>
      </c>
      <c r="P27">
        <f t="shared" si="7"/>
        <v>7</v>
      </c>
      <c r="Q27">
        <f t="shared" si="8"/>
        <v>7.0000000000000001E-3</v>
      </c>
      <c r="R27">
        <f t="shared" si="9"/>
        <v>1</v>
      </c>
      <c r="T27">
        <f>$AM$3</f>
        <v>0.24</v>
      </c>
      <c r="U27">
        <f>$AM$4</f>
        <v>0.11</v>
      </c>
      <c r="V27">
        <f>$AJ$5</f>
        <v>0.6784</v>
      </c>
      <c r="W27">
        <f t="shared" si="1"/>
        <v>2E-3</v>
      </c>
      <c r="X27">
        <f t="shared" si="10"/>
        <v>0.78</v>
      </c>
      <c r="Y27">
        <f t="shared" si="11"/>
        <v>1.709160960000002E-3</v>
      </c>
      <c r="Z27">
        <f>$AI$33</f>
        <v>4.7000000000000002E-3</v>
      </c>
      <c r="AA27">
        <f t="shared" si="12"/>
        <v>1.9567701760000002E-4</v>
      </c>
      <c r="AB27">
        <f t="shared" si="13"/>
        <v>13.100718758400015</v>
      </c>
      <c r="AC27">
        <f t="shared" si="14"/>
        <v>1.4998643399039999</v>
      </c>
      <c r="AD27">
        <f t="shared" si="15"/>
        <v>1.4600583098304016E-2</v>
      </c>
      <c r="AE27" s="11">
        <f t="shared" si="2"/>
        <v>53655</v>
      </c>
      <c r="AF27">
        <f t="shared" si="3"/>
        <v>0.16863</v>
      </c>
      <c r="AI27" s="2" t="s">
        <v>68</v>
      </c>
      <c r="AJ27" s="2">
        <v>0.74</v>
      </c>
      <c r="AL27" s="2"/>
      <c r="AM27" s="2"/>
    </row>
    <row r="28" spans="1:41">
      <c r="A28" s="2" t="s">
        <v>21</v>
      </c>
      <c r="B28" s="2" t="s">
        <v>21</v>
      </c>
      <c r="C28">
        <v>22</v>
      </c>
      <c r="D28" t="s">
        <v>58</v>
      </c>
      <c r="E28" s="2" t="s">
        <v>76</v>
      </c>
      <c r="G28" t="s">
        <v>103</v>
      </c>
      <c r="H28" t="str">
        <f t="shared" si="0"/>
        <v>dry</v>
      </c>
      <c r="I28" s="2" t="s">
        <v>68</v>
      </c>
      <c r="J28">
        <f t="shared" si="4"/>
        <v>2.73</v>
      </c>
      <c r="K28">
        <f>$AM$5</f>
        <v>0.19</v>
      </c>
      <c r="L28" t="s">
        <v>58</v>
      </c>
      <c r="M28">
        <f t="shared" si="5"/>
        <v>5.0000000000000044E-2</v>
      </c>
      <c r="N28">
        <f t="shared" si="6"/>
        <v>0.95</v>
      </c>
      <c r="O28">
        <f>$AJ$4</f>
        <v>1.5714285714285714</v>
      </c>
      <c r="P28">
        <f t="shared" si="7"/>
        <v>39.5</v>
      </c>
      <c r="Q28">
        <f t="shared" si="8"/>
        <v>1.8E-3</v>
      </c>
      <c r="R28">
        <f t="shared" si="9"/>
        <v>0</v>
      </c>
      <c r="T28">
        <f>$AM$3</f>
        <v>0.24</v>
      </c>
      <c r="U28">
        <f>$AM$4</f>
        <v>0.11</v>
      </c>
      <c r="V28">
        <f>$AJ$5</f>
        <v>0.6784</v>
      </c>
      <c r="W28">
        <f t="shared" si="1"/>
        <v>2E-3</v>
      </c>
      <c r="X28">
        <f t="shared" si="10"/>
        <v>0.74</v>
      </c>
      <c r="Y28">
        <f t="shared" si="11"/>
        <v>1.3019784960000013E-2</v>
      </c>
      <c r="Z28">
        <f>$AI$33</f>
        <v>4.7000000000000002E-3</v>
      </c>
      <c r="AA28">
        <f t="shared" si="12"/>
        <v>1.5711713472E-3</v>
      </c>
      <c r="AB28">
        <f t="shared" si="13"/>
        <v>104.5488732288001</v>
      </c>
      <c r="AC28">
        <f t="shared" si="14"/>
        <v>12.616505918016001</v>
      </c>
      <c r="AD28">
        <f t="shared" si="15"/>
        <v>0.11716537914681611</v>
      </c>
      <c r="AE28" s="11">
        <f t="shared" si="2"/>
        <v>317185</v>
      </c>
      <c r="AF28">
        <f t="shared" si="3"/>
        <v>0.99686714285714295</v>
      </c>
      <c r="AI28" s="2" t="s">
        <v>69</v>
      </c>
      <c r="AJ28" s="2">
        <v>0.7</v>
      </c>
      <c r="AL28" s="2"/>
      <c r="AM28" s="2"/>
    </row>
    <row r="29" spans="1:41">
      <c r="A29" s="2" t="s">
        <v>22</v>
      </c>
      <c r="B29" s="2" t="s">
        <v>22</v>
      </c>
      <c r="C29">
        <v>23</v>
      </c>
      <c r="D29" t="s">
        <v>57</v>
      </c>
      <c r="E29" s="2" t="s">
        <v>77</v>
      </c>
      <c r="G29" t="s">
        <v>104</v>
      </c>
      <c r="H29" t="str">
        <f t="shared" si="0"/>
        <v>dry</v>
      </c>
      <c r="I29" s="2" t="s">
        <v>69</v>
      </c>
      <c r="J29">
        <f t="shared" si="4"/>
        <v>0.91</v>
      </c>
      <c r="K29">
        <f>$AM$5</f>
        <v>0.19</v>
      </c>
      <c r="L29" t="s">
        <v>58</v>
      </c>
      <c r="M29">
        <f t="shared" si="5"/>
        <v>5.0000000000000044E-2</v>
      </c>
      <c r="N29">
        <f t="shared" si="6"/>
        <v>0.95</v>
      </c>
      <c r="O29">
        <f>$AJ$4</f>
        <v>1.5714285714285714</v>
      </c>
      <c r="P29">
        <f t="shared" si="7"/>
        <v>13.2</v>
      </c>
      <c r="Q29">
        <f t="shared" si="8"/>
        <v>2.8999999999999998E-3</v>
      </c>
      <c r="R29">
        <f t="shared" si="9"/>
        <v>1</v>
      </c>
      <c r="T29">
        <f>$AM$3</f>
        <v>0.24</v>
      </c>
      <c r="U29">
        <f>$AM$4</f>
        <v>0.11</v>
      </c>
      <c r="V29">
        <f>$AJ$5</f>
        <v>0.6784</v>
      </c>
      <c r="W29">
        <f t="shared" si="1"/>
        <v>2E-3</v>
      </c>
      <c r="X29">
        <f t="shared" si="10"/>
        <v>0.7</v>
      </c>
      <c r="Y29">
        <f t="shared" si="11"/>
        <v>4.1053376000000034E-3</v>
      </c>
      <c r="Z29">
        <f>$AI$33</f>
        <v>4.7000000000000002E-3</v>
      </c>
      <c r="AA29">
        <f t="shared" si="12"/>
        <v>5.2372378239999996E-4</v>
      </c>
      <c r="AB29">
        <f t="shared" si="13"/>
        <v>34.464309152000027</v>
      </c>
      <c r="AC29">
        <f t="shared" si="14"/>
        <v>4.396661153248</v>
      </c>
      <c r="AD29">
        <f t="shared" si="15"/>
        <v>3.8860970305248023E-2</v>
      </c>
      <c r="AE29" s="11">
        <f t="shared" si="2"/>
        <v>110813.99999999999</v>
      </c>
      <c r="AF29">
        <f t="shared" si="3"/>
        <v>0.34827257142857138</v>
      </c>
      <c r="AI29" s="2" t="s">
        <v>70</v>
      </c>
      <c r="AJ29" s="2">
        <v>0.74</v>
      </c>
      <c r="AL29" s="2"/>
      <c r="AM29" s="2"/>
    </row>
    <row r="30" spans="1:41">
      <c r="A30" s="2" t="s">
        <v>64</v>
      </c>
      <c r="B30" s="2" t="s">
        <v>23</v>
      </c>
      <c r="C30">
        <v>24</v>
      </c>
      <c r="D30" t="s">
        <v>58</v>
      </c>
      <c r="E30" s="2" t="s">
        <v>78</v>
      </c>
      <c r="G30" t="s">
        <v>105</v>
      </c>
      <c r="H30" t="str">
        <f t="shared" si="0"/>
        <v>dry</v>
      </c>
      <c r="I30" s="2" t="s">
        <v>70</v>
      </c>
      <c r="J30">
        <f t="shared" si="4"/>
        <v>0.34</v>
      </c>
      <c r="K30">
        <f>$AM$5</f>
        <v>0.19</v>
      </c>
      <c r="L30" t="s">
        <v>58</v>
      </c>
      <c r="M30">
        <f t="shared" si="5"/>
        <v>5.0000000000000044E-2</v>
      </c>
      <c r="N30">
        <f t="shared" si="6"/>
        <v>0.95</v>
      </c>
      <c r="O30">
        <f>$AJ$4</f>
        <v>1.5714285714285714</v>
      </c>
      <c r="P30">
        <f t="shared" si="7"/>
        <v>7</v>
      </c>
      <c r="Q30">
        <f t="shared" si="8"/>
        <v>8.0000000000000002E-3</v>
      </c>
      <c r="R30">
        <f t="shared" si="9"/>
        <v>0</v>
      </c>
      <c r="T30">
        <f>$AM$3</f>
        <v>0.24</v>
      </c>
      <c r="U30">
        <f>$AM$4</f>
        <v>0.11</v>
      </c>
      <c r="V30">
        <f>$AJ$5</f>
        <v>0.6784</v>
      </c>
      <c r="W30">
        <f t="shared" si="1"/>
        <v>2E-3</v>
      </c>
      <c r="X30">
        <f t="shared" si="10"/>
        <v>0.74</v>
      </c>
      <c r="Y30">
        <f t="shared" si="11"/>
        <v>1.6215116800000018E-3</v>
      </c>
      <c r="Z30">
        <f>$AI$33</f>
        <v>4.7000000000000002E-3</v>
      </c>
      <c r="AA30">
        <f t="shared" si="12"/>
        <v>1.9567701760000002E-4</v>
      </c>
      <c r="AB30">
        <f t="shared" si="13"/>
        <v>14.204442316800016</v>
      </c>
      <c r="AC30">
        <f t="shared" si="14"/>
        <v>1.7141306741760001</v>
      </c>
      <c r="AD30">
        <f t="shared" si="15"/>
        <v>1.5918572990976015E-2</v>
      </c>
      <c r="AE30" s="11">
        <f t="shared" si="2"/>
        <v>61320</v>
      </c>
      <c r="AF30">
        <f t="shared" si="3"/>
        <v>0.19272</v>
      </c>
      <c r="AI30" s="2" t="s">
        <v>71</v>
      </c>
      <c r="AJ30" s="2">
        <v>0.76</v>
      </c>
      <c r="AL30" s="2"/>
      <c r="AM30" s="2"/>
    </row>
    <row r="31" spans="1:41">
      <c r="E31" s="2"/>
      <c r="I31" s="2"/>
      <c r="AN31" t="s">
        <v>96</v>
      </c>
      <c r="AO31" t="s">
        <v>41</v>
      </c>
    </row>
    <row r="32" spans="1:41">
      <c r="E32" s="2"/>
      <c r="AI32" s="2" t="s">
        <v>30</v>
      </c>
      <c r="AN32" t="s">
        <v>97</v>
      </c>
      <c r="AO32" t="s">
        <v>41</v>
      </c>
    </row>
    <row r="33" spans="1:41">
      <c r="E33" s="2"/>
      <c r="AI33">
        <v>4.7000000000000002E-3</v>
      </c>
      <c r="AN33" t="s">
        <v>98</v>
      </c>
      <c r="AO33" t="s">
        <v>41</v>
      </c>
    </row>
    <row r="34" spans="1:41">
      <c r="E34" s="2"/>
      <c r="AN34" t="s">
        <v>99</v>
      </c>
      <c r="AO34" t="s">
        <v>41</v>
      </c>
    </row>
    <row r="35" spans="1:41">
      <c r="E35" s="2"/>
      <c r="AI35" t="s">
        <v>31</v>
      </c>
      <c r="AN35" t="s">
        <v>100</v>
      </c>
      <c r="AO35" t="s">
        <v>41</v>
      </c>
    </row>
    <row r="36" spans="1:41">
      <c r="E36" s="2"/>
      <c r="AI36" t="s">
        <v>32</v>
      </c>
      <c r="AN36" t="s">
        <v>101</v>
      </c>
      <c r="AO36" t="s">
        <v>41</v>
      </c>
    </row>
    <row r="37" spans="1:41">
      <c r="E37" s="2"/>
      <c r="AI37" t="s">
        <v>92</v>
      </c>
      <c r="AJ37">
        <v>0.66</v>
      </c>
      <c r="AN37" t="s">
        <v>102</v>
      </c>
      <c r="AO37" t="s">
        <v>42</v>
      </c>
    </row>
    <row r="38" spans="1:41">
      <c r="E38" s="2"/>
      <c r="AI38">
        <v>11</v>
      </c>
      <c r="AJ38">
        <v>0.68</v>
      </c>
      <c r="AN38" t="s">
        <v>103</v>
      </c>
      <c r="AO38" t="s">
        <v>42</v>
      </c>
    </row>
    <row r="39" spans="1:41">
      <c r="AI39">
        <v>12</v>
      </c>
      <c r="AJ39">
        <v>0.7</v>
      </c>
      <c r="AN39" t="s">
        <v>104</v>
      </c>
      <c r="AO39" t="s">
        <v>42</v>
      </c>
    </row>
    <row r="40" spans="1:41">
      <c r="AI40">
        <v>13</v>
      </c>
      <c r="AJ40">
        <v>0.71</v>
      </c>
      <c r="AN40" t="s">
        <v>105</v>
      </c>
      <c r="AO40" t="s">
        <v>42</v>
      </c>
    </row>
    <row r="41" spans="1:41" ht="17">
      <c r="A41" s="3" t="s">
        <v>3</v>
      </c>
      <c r="B41" s="2" t="s">
        <v>4</v>
      </c>
      <c r="C41">
        <v>5</v>
      </c>
      <c r="D41" t="s">
        <v>57</v>
      </c>
      <c r="E41" s="2" t="s">
        <v>75</v>
      </c>
      <c r="F41" t="s">
        <v>92</v>
      </c>
      <c r="I41" t="s">
        <v>67</v>
      </c>
      <c r="J41">
        <f>VLOOKUP(A41, $AI$11:$AJ$18,2,FALSE)</f>
        <v>2.73</v>
      </c>
      <c r="K41">
        <f>$AM$5</f>
        <v>0.19</v>
      </c>
      <c r="L41" t="s">
        <v>58</v>
      </c>
      <c r="M41">
        <f>1-N41</f>
        <v>5.0000000000000044E-2</v>
      </c>
      <c r="N41">
        <f>IF(L41="yes", 1, 0.95)</f>
        <v>0.95</v>
      </c>
      <c r="O41">
        <f>$AJ$4</f>
        <v>1.5714285714285714</v>
      </c>
      <c r="P41">
        <f>VLOOKUP(A41, $AI$11:$AK$18,3,FALSE)</f>
        <v>39.5</v>
      </c>
      <c r="Q41">
        <f>VLOOKUP(E41,$AN$10:$AO$22,2,FALSE)</f>
        <v>5.8999999999999999E-3</v>
      </c>
      <c r="R41">
        <f>IF(D41="yes", 1, 0)</f>
        <v>1</v>
      </c>
      <c r="T41">
        <f>$AM$3</f>
        <v>0.24</v>
      </c>
      <c r="U41">
        <f>$AM$4</f>
        <v>0.11</v>
      </c>
      <c r="V41">
        <f>$AJ$5</f>
        <v>0.6784</v>
      </c>
      <c r="X41">
        <f>VLOOKUP(F41, $AI$37:$AJ$55, 2, FALSE)</f>
        <v>0.66</v>
      </c>
      <c r="Y41">
        <f>J41*K41*M41*X41*V41</f>
        <v>1.1612240640000012E-2</v>
      </c>
      <c r="Z41">
        <f>$AI$33</f>
        <v>4.7000000000000002E-3</v>
      </c>
      <c r="AA41">
        <f>J41*K41*N41*Z41*V41</f>
        <v>1.5711713472E-3</v>
      </c>
      <c r="AB41">
        <f>C41*Y41*365</f>
        <v>21.192339168000025</v>
      </c>
      <c r="AC41">
        <f>C41*AA41*365</f>
        <v>2.8673877086399999</v>
      </c>
      <c r="AD41">
        <f>(AB41+AC41)*10^-3</f>
        <v>2.4059726876640024E-2</v>
      </c>
      <c r="AI41">
        <v>14</v>
      </c>
      <c r="AJ41">
        <v>0.73</v>
      </c>
    </row>
    <row r="42" spans="1:41" ht="17">
      <c r="A42" s="3" t="s">
        <v>3</v>
      </c>
      <c r="B42" s="2" t="s">
        <v>5</v>
      </c>
      <c r="C42">
        <v>6</v>
      </c>
      <c r="D42" t="s">
        <v>58</v>
      </c>
      <c r="E42" s="2" t="s">
        <v>74</v>
      </c>
      <c r="F42">
        <v>11</v>
      </c>
      <c r="I42" t="s">
        <v>67</v>
      </c>
      <c r="J42">
        <f>VLOOKUP(A42, $AI$11:$AJ$18,2,FALSE)</f>
        <v>2.73</v>
      </c>
      <c r="K42">
        <f>$AM$5</f>
        <v>0.19</v>
      </c>
      <c r="L42" t="s">
        <v>58</v>
      </c>
      <c r="M42">
        <f>1-N42</f>
        <v>5.0000000000000044E-2</v>
      </c>
      <c r="N42">
        <f>IF(L42="yes", 1, 0.95)</f>
        <v>0.95</v>
      </c>
      <c r="O42">
        <f>$AJ$4</f>
        <v>1.5714285714285714</v>
      </c>
      <c r="P42">
        <f>VLOOKUP(A42, $AI$11:$AK$18,3,FALSE)</f>
        <v>39.5</v>
      </c>
      <c r="Q42">
        <f>VLOOKUP(E42,$AN$10:$AO$22,2,FALSE)</f>
        <v>7.0000000000000001E-3</v>
      </c>
      <c r="R42">
        <f>IF(D42="yes", 1, 0)</f>
        <v>0</v>
      </c>
      <c r="T42">
        <f>$AM$3</f>
        <v>0.24</v>
      </c>
      <c r="U42">
        <f>$AM$4</f>
        <v>0.11</v>
      </c>
      <c r="V42">
        <f>$AJ$5</f>
        <v>0.6784</v>
      </c>
      <c r="X42">
        <f t="shared" ref="X42:X60" si="16">VLOOKUP(F42, $AI$37:$AJ$55, 2, FALSE)</f>
        <v>0.68</v>
      </c>
      <c r="Y42">
        <f>J42*K42*M42*X42*V42</f>
        <v>1.1964126720000011E-2</v>
      </c>
      <c r="Z42">
        <f>$AI$33</f>
        <v>4.7000000000000002E-3</v>
      </c>
      <c r="AA42">
        <f>J42*K42*N42*Z42*V42</f>
        <v>1.5711713472E-3</v>
      </c>
      <c r="AB42">
        <f>C42*Y42*365</f>
        <v>26.201437516800027</v>
      </c>
      <c r="AC42">
        <f>C42*AA42*365</f>
        <v>3.4408652503679997</v>
      </c>
      <c r="AD42">
        <f>(AB42+AC42)*10^-3</f>
        <v>2.9642302767168026E-2</v>
      </c>
      <c r="AI42">
        <v>15</v>
      </c>
      <c r="AJ42">
        <v>0.74</v>
      </c>
    </row>
    <row r="43" spans="1:41" ht="17">
      <c r="A43" s="3" t="s">
        <v>3</v>
      </c>
      <c r="B43" s="2" t="s">
        <v>6</v>
      </c>
      <c r="C43">
        <v>7</v>
      </c>
      <c r="D43" t="s">
        <v>57</v>
      </c>
      <c r="E43" s="2" t="s">
        <v>76</v>
      </c>
      <c r="F43">
        <v>12</v>
      </c>
      <c r="I43" t="s">
        <v>67</v>
      </c>
      <c r="J43">
        <f t="shared" ref="J43:J60" si="17">VLOOKUP(A43, $AI$11:$AJ$18,2,FALSE)</f>
        <v>2.73</v>
      </c>
      <c r="K43">
        <f>$AM$5</f>
        <v>0.19</v>
      </c>
      <c r="L43" t="s">
        <v>58</v>
      </c>
      <c r="M43">
        <f t="shared" ref="M43:M60" si="18">1-N43</f>
        <v>5.0000000000000044E-2</v>
      </c>
      <c r="N43">
        <f t="shared" ref="N43:N60" si="19">IF(L43="yes", 1, 0.95)</f>
        <v>0.95</v>
      </c>
      <c r="O43">
        <f>$AJ$4</f>
        <v>1.5714285714285714</v>
      </c>
      <c r="P43">
        <f t="shared" ref="P43:P60" si="20">VLOOKUP(A43, $AI$11:$AK$18,3,FALSE)</f>
        <v>39.5</v>
      </c>
      <c r="Q43">
        <f t="shared" ref="Q43:Q60" si="21">VLOOKUP(E43,$AN$10:$AO$22,2,FALSE)</f>
        <v>1.8E-3</v>
      </c>
      <c r="R43">
        <f t="shared" ref="R43:R60" si="22">IF(D43="yes", 1, 0)</f>
        <v>1</v>
      </c>
      <c r="T43">
        <f>$AM$3</f>
        <v>0.24</v>
      </c>
      <c r="U43">
        <f>$AM$4</f>
        <v>0.11</v>
      </c>
      <c r="V43">
        <f>$AJ$5</f>
        <v>0.6784</v>
      </c>
      <c r="X43">
        <f t="shared" si="16"/>
        <v>0.7</v>
      </c>
      <c r="Y43">
        <f t="shared" ref="Y43:Y60" si="23">J43*K43*M43*X43*V43</f>
        <v>1.231601280000001E-2</v>
      </c>
      <c r="Z43">
        <f>$AI$33</f>
        <v>4.7000000000000002E-3</v>
      </c>
      <c r="AA43">
        <f t="shared" ref="AA43:AA60" si="24">J43*K43*N43*Z43*V43</f>
        <v>1.5711713472E-3</v>
      </c>
      <c r="AB43">
        <f t="shared" ref="AB43:AB60" si="25">C43*Y43*365</f>
        <v>31.467412704000026</v>
      </c>
      <c r="AC43">
        <f t="shared" ref="AC43:AC60" si="26">C43*AA43*365</f>
        <v>4.0143427920960004</v>
      </c>
      <c r="AD43">
        <f t="shared" ref="AD43:AD60" si="27">(AB43+AC43)*10^-3</f>
        <v>3.5481755496096029E-2</v>
      </c>
      <c r="AI43">
        <v>16</v>
      </c>
      <c r="AJ43">
        <v>0.75</v>
      </c>
    </row>
    <row r="44" spans="1:41" ht="17">
      <c r="A44" s="3" t="s">
        <v>3</v>
      </c>
      <c r="B44" s="2" t="s">
        <v>7</v>
      </c>
      <c r="C44">
        <v>8</v>
      </c>
      <c r="D44" t="s">
        <v>58</v>
      </c>
      <c r="E44" s="2" t="s">
        <v>77</v>
      </c>
      <c r="F44">
        <v>13</v>
      </c>
      <c r="I44" t="s">
        <v>67</v>
      </c>
      <c r="J44">
        <f t="shared" si="17"/>
        <v>2.73</v>
      </c>
      <c r="K44">
        <f>$AM$5</f>
        <v>0.19</v>
      </c>
      <c r="L44" t="s">
        <v>58</v>
      </c>
      <c r="M44">
        <f t="shared" si="18"/>
        <v>5.0000000000000044E-2</v>
      </c>
      <c r="N44">
        <f t="shared" si="19"/>
        <v>0.95</v>
      </c>
      <c r="O44">
        <f>$AJ$4</f>
        <v>1.5714285714285714</v>
      </c>
      <c r="P44">
        <f t="shared" si="20"/>
        <v>39.5</v>
      </c>
      <c r="Q44">
        <f t="shared" si="21"/>
        <v>2.8999999999999998E-3</v>
      </c>
      <c r="R44">
        <f t="shared" si="22"/>
        <v>0</v>
      </c>
      <c r="T44">
        <f>$AM$3</f>
        <v>0.24</v>
      </c>
      <c r="U44">
        <f>$AM$4</f>
        <v>0.11</v>
      </c>
      <c r="V44">
        <f>$AJ$5</f>
        <v>0.6784</v>
      </c>
      <c r="X44">
        <f t="shared" si="16"/>
        <v>0.71</v>
      </c>
      <c r="Y44">
        <f t="shared" si="23"/>
        <v>1.2491955840000011E-2</v>
      </c>
      <c r="Z44">
        <f>$AI$33</f>
        <v>4.7000000000000002E-3</v>
      </c>
      <c r="AA44">
        <f t="shared" si="24"/>
        <v>1.5711713472E-3</v>
      </c>
      <c r="AB44">
        <f t="shared" si="25"/>
        <v>36.476511052800035</v>
      </c>
      <c r="AC44">
        <f t="shared" si="26"/>
        <v>4.5878203338240002</v>
      </c>
      <c r="AD44">
        <f t="shared" si="27"/>
        <v>4.1064331386624034E-2</v>
      </c>
      <c r="AI44">
        <v>17</v>
      </c>
      <c r="AJ44">
        <v>0.76</v>
      </c>
    </row>
    <row r="45" spans="1:41" ht="17">
      <c r="A45" s="3" t="s">
        <v>25</v>
      </c>
      <c r="B45" s="2" t="s">
        <v>8</v>
      </c>
      <c r="C45">
        <v>9</v>
      </c>
      <c r="D45" t="s">
        <v>57</v>
      </c>
      <c r="E45" s="2" t="s">
        <v>78</v>
      </c>
      <c r="F45">
        <v>14</v>
      </c>
      <c r="I45" t="s">
        <v>67</v>
      </c>
      <c r="J45">
        <f t="shared" si="17"/>
        <v>0.34</v>
      </c>
      <c r="K45">
        <f>$AM$5</f>
        <v>0.19</v>
      </c>
      <c r="L45" t="s">
        <v>58</v>
      </c>
      <c r="M45">
        <f t="shared" si="18"/>
        <v>5.0000000000000044E-2</v>
      </c>
      <c r="N45">
        <f t="shared" si="19"/>
        <v>0.95</v>
      </c>
      <c r="O45">
        <f>$AJ$4</f>
        <v>1.5714285714285714</v>
      </c>
      <c r="P45">
        <f t="shared" si="20"/>
        <v>7</v>
      </c>
      <c r="Q45">
        <f t="shared" si="21"/>
        <v>8.0000000000000002E-3</v>
      </c>
      <c r="R45">
        <f t="shared" si="22"/>
        <v>1</v>
      </c>
      <c r="T45">
        <f>$AM$3</f>
        <v>0.24</v>
      </c>
      <c r="U45">
        <f>$AM$4</f>
        <v>0.11</v>
      </c>
      <c r="V45">
        <f>$AJ$5</f>
        <v>0.6784</v>
      </c>
      <c r="X45">
        <f t="shared" si="16"/>
        <v>0.73</v>
      </c>
      <c r="Y45">
        <f t="shared" si="23"/>
        <v>1.5995993600000015E-3</v>
      </c>
      <c r="Z45">
        <f>$AI$33</f>
        <v>4.7000000000000002E-3</v>
      </c>
      <c r="AA45">
        <f t="shared" si="24"/>
        <v>1.9567701760000002E-4</v>
      </c>
      <c r="AB45">
        <f t="shared" si="25"/>
        <v>5.254683897600005</v>
      </c>
      <c r="AC45">
        <f t="shared" si="26"/>
        <v>0.64279900281600011</v>
      </c>
      <c r="AD45">
        <f t="shared" si="27"/>
        <v>5.8974829004160047E-3</v>
      </c>
      <c r="AI45">
        <v>18</v>
      </c>
      <c r="AJ45">
        <v>0.77</v>
      </c>
    </row>
    <row r="46" spans="1:41" ht="17">
      <c r="A46" s="3" t="s">
        <v>25</v>
      </c>
      <c r="B46" s="2" t="s">
        <v>9</v>
      </c>
      <c r="C46">
        <v>10</v>
      </c>
      <c r="D46" t="s">
        <v>58</v>
      </c>
      <c r="E46" s="2" t="s">
        <v>79</v>
      </c>
      <c r="F46">
        <v>15</v>
      </c>
      <c r="I46" s="2" t="s">
        <v>28</v>
      </c>
      <c r="J46">
        <f t="shared" si="17"/>
        <v>0.34</v>
      </c>
      <c r="K46">
        <f>$AM$5</f>
        <v>0.19</v>
      </c>
      <c r="L46" t="s">
        <v>58</v>
      </c>
      <c r="M46">
        <f t="shared" si="18"/>
        <v>5.0000000000000044E-2</v>
      </c>
      <c r="N46">
        <f t="shared" si="19"/>
        <v>0.95</v>
      </c>
      <c r="O46">
        <f>$AJ$4</f>
        <v>1.5714285714285714</v>
      </c>
      <c r="P46">
        <f t="shared" si="20"/>
        <v>7</v>
      </c>
      <c r="Q46">
        <f t="shared" si="21"/>
        <v>1.9900000000000001E-2</v>
      </c>
      <c r="R46">
        <f t="shared" si="22"/>
        <v>0</v>
      </c>
      <c r="T46">
        <f>$AM$3</f>
        <v>0.24</v>
      </c>
      <c r="U46">
        <f>$AM$4</f>
        <v>0.11</v>
      </c>
      <c r="V46">
        <f>$AJ$5</f>
        <v>0.6784</v>
      </c>
      <c r="X46">
        <f t="shared" si="16"/>
        <v>0.74</v>
      </c>
      <c r="Y46">
        <f t="shared" si="23"/>
        <v>1.6215116800000018E-3</v>
      </c>
      <c r="Z46">
        <f>$AI$33</f>
        <v>4.7000000000000002E-3</v>
      </c>
      <c r="AA46">
        <f t="shared" si="24"/>
        <v>1.9567701760000002E-4</v>
      </c>
      <c r="AB46">
        <f t="shared" si="25"/>
        <v>5.9185176320000075</v>
      </c>
      <c r="AC46">
        <f t="shared" si="26"/>
        <v>0.71422111424000012</v>
      </c>
      <c r="AD46">
        <f t="shared" si="27"/>
        <v>6.6327387462400073E-3</v>
      </c>
      <c r="AI46">
        <v>19</v>
      </c>
      <c r="AJ46">
        <v>0.77</v>
      </c>
    </row>
    <row r="47" spans="1:41" ht="17">
      <c r="A47" s="3" t="s">
        <v>25</v>
      </c>
      <c r="B47" s="2" t="s">
        <v>10</v>
      </c>
      <c r="C47">
        <v>11</v>
      </c>
      <c r="D47" t="s">
        <v>57</v>
      </c>
      <c r="E47" s="2" t="s">
        <v>80</v>
      </c>
      <c r="F47">
        <v>16</v>
      </c>
      <c r="I47" s="2" t="s">
        <v>65</v>
      </c>
      <c r="J47">
        <f t="shared" si="17"/>
        <v>0.34</v>
      </c>
      <c r="K47">
        <f>$AM$5</f>
        <v>0.19</v>
      </c>
      <c r="L47" t="s">
        <v>58</v>
      </c>
      <c r="M47">
        <f t="shared" si="18"/>
        <v>5.0000000000000044E-2</v>
      </c>
      <c r="N47">
        <f t="shared" si="19"/>
        <v>0.95</v>
      </c>
      <c r="O47">
        <f>$AJ$4</f>
        <v>1.5714285714285714</v>
      </c>
      <c r="P47">
        <f t="shared" si="20"/>
        <v>7</v>
      </c>
      <c r="Q47">
        <f t="shared" si="21"/>
        <v>5.3E-3</v>
      </c>
      <c r="R47">
        <f t="shared" si="22"/>
        <v>1</v>
      </c>
      <c r="T47">
        <f>$AM$3</f>
        <v>0.24</v>
      </c>
      <c r="U47">
        <f>$AM$4</f>
        <v>0.11</v>
      </c>
      <c r="V47">
        <f>$AJ$5</f>
        <v>0.6784</v>
      </c>
      <c r="X47">
        <f t="shared" si="16"/>
        <v>0.75</v>
      </c>
      <c r="Y47">
        <f t="shared" si="23"/>
        <v>1.6434240000000016E-3</v>
      </c>
      <c r="Z47">
        <f>$AI$33</f>
        <v>4.7000000000000002E-3</v>
      </c>
      <c r="AA47">
        <f t="shared" si="24"/>
        <v>1.9567701760000002E-4</v>
      </c>
      <c r="AB47">
        <f t="shared" si="25"/>
        <v>6.5983473600000062</v>
      </c>
      <c r="AC47">
        <f t="shared" si="26"/>
        <v>0.78564322566400013</v>
      </c>
      <c r="AD47">
        <f t="shared" si="27"/>
        <v>7.383990585664006E-3</v>
      </c>
      <c r="AI47">
        <v>20</v>
      </c>
      <c r="AJ47">
        <v>0.78</v>
      </c>
    </row>
    <row r="48" spans="1:41" ht="17">
      <c r="A48" s="3" t="s">
        <v>25</v>
      </c>
      <c r="B48" s="2" t="s">
        <v>11</v>
      </c>
      <c r="C48">
        <v>12</v>
      </c>
      <c r="D48" t="s">
        <v>58</v>
      </c>
      <c r="E48" s="2" t="s">
        <v>81</v>
      </c>
      <c r="F48">
        <v>17</v>
      </c>
      <c r="I48" s="2" t="s">
        <v>66</v>
      </c>
      <c r="J48">
        <f t="shared" si="17"/>
        <v>0.34</v>
      </c>
      <c r="K48">
        <f>$AM$5</f>
        <v>0.19</v>
      </c>
      <c r="L48" t="s">
        <v>58</v>
      </c>
      <c r="M48">
        <f t="shared" si="18"/>
        <v>5.0000000000000044E-2</v>
      </c>
      <c r="N48">
        <f t="shared" si="19"/>
        <v>0.95</v>
      </c>
      <c r="O48">
        <f>$AJ$4</f>
        <v>1.5714285714285714</v>
      </c>
      <c r="P48">
        <f t="shared" si="20"/>
        <v>7</v>
      </c>
      <c r="Q48">
        <f t="shared" si="21"/>
        <v>6.4000000000000003E-3</v>
      </c>
      <c r="R48">
        <f t="shared" si="22"/>
        <v>0</v>
      </c>
      <c r="T48">
        <f>$AM$3</f>
        <v>0.24</v>
      </c>
      <c r="U48">
        <f>$AM$4</f>
        <v>0.11</v>
      </c>
      <c r="V48">
        <f>$AJ$5</f>
        <v>0.6784</v>
      </c>
      <c r="X48">
        <f t="shared" si="16"/>
        <v>0.76</v>
      </c>
      <c r="Y48">
        <f t="shared" si="23"/>
        <v>1.6653363200000019E-3</v>
      </c>
      <c r="Z48">
        <f>$AI$33</f>
        <v>4.7000000000000002E-3</v>
      </c>
      <c r="AA48">
        <f t="shared" si="24"/>
        <v>1.9567701760000002E-4</v>
      </c>
      <c r="AB48">
        <f t="shared" si="25"/>
        <v>7.2941730816000083</v>
      </c>
      <c r="AC48">
        <f t="shared" si="26"/>
        <v>0.85706533708800003</v>
      </c>
      <c r="AD48">
        <f t="shared" si="27"/>
        <v>8.1512384186880078E-3</v>
      </c>
      <c r="AI48">
        <v>21</v>
      </c>
      <c r="AJ48">
        <v>0.78</v>
      </c>
    </row>
    <row r="49" spans="1:36" ht="17">
      <c r="A49" s="3" t="s">
        <v>25</v>
      </c>
      <c r="B49" s="2" t="s">
        <v>12</v>
      </c>
      <c r="C49">
        <v>13</v>
      </c>
      <c r="D49" t="s">
        <v>57</v>
      </c>
      <c r="E49" s="2" t="s">
        <v>82</v>
      </c>
      <c r="F49">
        <v>18</v>
      </c>
      <c r="I49" s="2" t="s">
        <v>67</v>
      </c>
      <c r="J49">
        <f t="shared" si="17"/>
        <v>0.34</v>
      </c>
      <c r="K49">
        <f>$AM$5</f>
        <v>0.19</v>
      </c>
      <c r="L49" t="s">
        <v>58</v>
      </c>
      <c r="M49">
        <f t="shared" si="18"/>
        <v>5.0000000000000044E-2</v>
      </c>
      <c r="N49">
        <f t="shared" si="19"/>
        <v>0.95</v>
      </c>
      <c r="O49">
        <f>$AJ$4</f>
        <v>1.5714285714285714</v>
      </c>
      <c r="P49">
        <f t="shared" si="20"/>
        <v>7</v>
      </c>
      <c r="Q49">
        <f t="shared" si="21"/>
        <v>2.5999999999999999E-3</v>
      </c>
      <c r="R49">
        <f t="shared" si="22"/>
        <v>1</v>
      </c>
      <c r="T49">
        <f>$AM$3</f>
        <v>0.24</v>
      </c>
      <c r="U49">
        <f>$AM$4</f>
        <v>0.11</v>
      </c>
      <c r="V49">
        <f>$AJ$5</f>
        <v>0.6784</v>
      </c>
      <c r="X49">
        <f t="shared" si="16"/>
        <v>0.77</v>
      </c>
      <c r="Y49">
        <f t="shared" si="23"/>
        <v>1.6872486400000017E-3</v>
      </c>
      <c r="Z49">
        <f>$AI$33</f>
        <v>4.7000000000000002E-3</v>
      </c>
      <c r="AA49">
        <f t="shared" si="24"/>
        <v>1.9567701760000002E-4</v>
      </c>
      <c r="AB49">
        <f t="shared" si="25"/>
        <v>8.0059947968000085</v>
      </c>
      <c r="AC49">
        <f t="shared" si="26"/>
        <v>0.92848744851200005</v>
      </c>
      <c r="AD49">
        <f t="shared" si="27"/>
        <v>8.9344822453120091E-3</v>
      </c>
      <c r="AI49">
        <v>22</v>
      </c>
      <c r="AJ49">
        <v>0.78</v>
      </c>
    </row>
    <row r="50" spans="1:36" ht="17">
      <c r="A50" s="3" t="s">
        <v>25</v>
      </c>
      <c r="B50" s="2" t="s">
        <v>13</v>
      </c>
      <c r="C50">
        <v>14</v>
      </c>
      <c r="D50" t="s">
        <v>58</v>
      </c>
      <c r="E50" s="2" t="s">
        <v>83</v>
      </c>
      <c r="F50">
        <v>19</v>
      </c>
      <c r="I50" s="2" t="s">
        <v>68</v>
      </c>
      <c r="J50">
        <f t="shared" si="17"/>
        <v>0.34</v>
      </c>
      <c r="K50">
        <f>$AM$5</f>
        <v>0.19</v>
      </c>
      <c r="L50" t="s">
        <v>58</v>
      </c>
      <c r="M50">
        <f t="shared" si="18"/>
        <v>5.0000000000000044E-2</v>
      </c>
      <c r="N50">
        <f t="shared" si="19"/>
        <v>0.95</v>
      </c>
      <c r="O50">
        <f>$AJ$4</f>
        <v>1.5714285714285714</v>
      </c>
      <c r="P50">
        <f t="shared" si="20"/>
        <v>7</v>
      </c>
      <c r="Q50">
        <f t="shared" si="21"/>
        <v>3.0000000000000001E-3</v>
      </c>
      <c r="R50">
        <f t="shared" si="22"/>
        <v>0</v>
      </c>
      <c r="T50">
        <f>$AM$3</f>
        <v>0.24</v>
      </c>
      <c r="U50">
        <f>$AM$4</f>
        <v>0.11</v>
      </c>
      <c r="V50">
        <f>$AJ$5</f>
        <v>0.6784</v>
      </c>
      <c r="X50">
        <f t="shared" si="16"/>
        <v>0.77</v>
      </c>
      <c r="Y50">
        <f t="shared" si="23"/>
        <v>1.6872486400000017E-3</v>
      </c>
      <c r="Z50">
        <f>$AI$33</f>
        <v>4.7000000000000002E-3</v>
      </c>
      <c r="AA50">
        <f t="shared" si="24"/>
        <v>1.9567701760000002E-4</v>
      </c>
      <c r="AB50">
        <f t="shared" si="25"/>
        <v>8.6218405504000089</v>
      </c>
      <c r="AC50">
        <f t="shared" si="26"/>
        <v>0.99990955993600006</v>
      </c>
      <c r="AD50">
        <f t="shared" si="27"/>
        <v>9.6217501103360095E-3</v>
      </c>
      <c r="AI50">
        <v>23</v>
      </c>
      <c r="AJ50">
        <v>0.79</v>
      </c>
    </row>
    <row r="51" spans="1:36" ht="17">
      <c r="A51" s="3" t="s">
        <v>25</v>
      </c>
      <c r="B51" s="2" t="s">
        <v>14</v>
      </c>
      <c r="C51">
        <v>15</v>
      </c>
      <c r="D51" t="s">
        <v>57</v>
      </c>
      <c r="E51" s="2" t="s">
        <v>84</v>
      </c>
      <c r="F51">
        <v>20</v>
      </c>
      <c r="I51" s="2" t="s">
        <v>69</v>
      </c>
      <c r="J51">
        <f t="shared" si="17"/>
        <v>0.34</v>
      </c>
      <c r="K51">
        <f>$AM$5</f>
        <v>0.19</v>
      </c>
      <c r="L51" t="s">
        <v>57</v>
      </c>
      <c r="M51">
        <f t="shared" si="18"/>
        <v>0</v>
      </c>
      <c r="N51">
        <f t="shared" si="19"/>
        <v>1</v>
      </c>
      <c r="O51">
        <f>$AJ$4</f>
        <v>1.5714285714285714</v>
      </c>
      <c r="P51">
        <f t="shared" si="20"/>
        <v>7</v>
      </c>
      <c r="Q51">
        <f t="shared" si="21"/>
        <v>5.0000000000000001E-3</v>
      </c>
      <c r="R51">
        <f t="shared" si="22"/>
        <v>1</v>
      </c>
      <c r="T51">
        <f>$AM$3</f>
        <v>0.24</v>
      </c>
      <c r="U51">
        <f>$AM$4</f>
        <v>0.11</v>
      </c>
      <c r="V51">
        <f>$AJ$5</f>
        <v>0.6784</v>
      </c>
      <c r="X51">
        <f t="shared" si="16"/>
        <v>0.78</v>
      </c>
      <c r="Y51">
        <f t="shared" si="23"/>
        <v>0</v>
      </c>
      <c r="Z51">
        <f>$AI$33</f>
        <v>4.7000000000000002E-3</v>
      </c>
      <c r="AA51">
        <f t="shared" si="24"/>
        <v>2.0597580800000003E-4</v>
      </c>
      <c r="AB51">
        <f t="shared" si="25"/>
        <v>0</v>
      </c>
      <c r="AC51">
        <f t="shared" si="26"/>
        <v>1.1277175488000002</v>
      </c>
      <c r="AD51">
        <f t="shared" si="27"/>
        <v>1.1277175488000003E-3</v>
      </c>
      <c r="AI51">
        <v>24</v>
      </c>
      <c r="AJ51">
        <v>0.79</v>
      </c>
    </row>
    <row r="52" spans="1:36" ht="17">
      <c r="A52" s="3" t="s">
        <v>24</v>
      </c>
      <c r="B52" s="2" t="s">
        <v>15</v>
      </c>
      <c r="C52">
        <v>16</v>
      </c>
      <c r="D52" t="s">
        <v>58</v>
      </c>
      <c r="E52" s="2" t="s">
        <v>82</v>
      </c>
      <c r="F52">
        <v>21</v>
      </c>
      <c r="I52" s="2" t="s">
        <v>70</v>
      </c>
      <c r="J52">
        <f t="shared" si="17"/>
        <v>0.91</v>
      </c>
      <c r="K52">
        <f>$AM$5</f>
        <v>0.19</v>
      </c>
      <c r="L52" t="s">
        <v>57</v>
      </c>
      <c r="M52">
        <f t="shared" si="18"/>
        <v>0</v>
      </c>
      <c r="N52">
        <f t="shared" si="19"/>
        <v>1</v>
      </c>
      <c r="O52">
        <f>$AJ$4</f>
        <v>1.5714285714285714</v>
      </c>
      <c r="P52">
        <f t="shared" si="20"/>
        <v>13.2</v>
      </c>
      <c r="Q52">
        <f t="shared" si="21"/>
        <v>2.5999999999999999E-3</v>
      </c>
      <c r="R52">
        <f t="shared" si="22"/>
        <v>0</v>
      </c>
      <c r="T52">
        <f>$AM$3</f>
        <v>0.24</v>
      </c>
      <c r="U52">
        <f>$AM$4</f>
        <v>0.11</v>
      </c>
      <c r="V52">
        <f>$AJ$5</f>
        <v>0.6784</v>
      </c>
      <c r="X52">
        <f t="shared" si="16"/>
        <v>0.78</v>
      </c>
      <c r="Y52">
        <f t="shared" si="23"/>
        <v>0</v>
      </c>
      <c r="Z52">
        <f>$AI$33</f>
        <v>4.7000000000000002E-3</v>
      </c>
      <c r="AA52">
        <f t="shared" si="24"/>
        <v>5.5128819200000003E-4</v>
      </c>
      <c r="AB52">
        <f t="shared" si="25"/>
        <v>0</v>
      </c>
      <c r="AC52">
        <f t="shared" si="26"/>
        <v>3.21952304128</v>
      </c>
      <c r="AD52">
        <f t="shared" si="27"/>
        <v>3.21952304128E-3</v>
      </c>
      <c r="AI52">
        <v>25</v>
      </c>
      <c r="AJ52">
        <v>0.79</v>
      </c>
    </row>
    <row r="53" spans="1:36" ht="17">
      <c r="A53" s="3" t="s">
        <v>24</v>
      </c>
      <c r="B53" s="2" t="s">
        <v>16</v>
      </c>
      <c r="C53">
        <v>17</v>
      </c>
      <c r="D53" t="s">
        <v>57</v>
      </c>
      <c r="E53" s="2" t="s">
        <v>85</v>
      </c>
      <c r="F53">
        <v>22</v>
      </c>
      <c r="I53" s="2" t="s">
        <v>71</v>
      </c>
      <c r="J53">
        <f t="shared" si="17"/>
        <v>0.91</v>
      </c>
      <c r="K53">
        <f>$AM$5</f>
        <v>0.19</v>
      </c>
      <c r="L53" t="s">
        <v>57</v>
      </c>
      <c r="M53">
        <f t="shared" si="18"/>
        <v>0</v>
      </c>
      <c r="N53">
        <f t="shared" si="19"/>
        <v>1</v>
      </c>
      <c r="O53">
        <f>$AJ$4</f>
        <v>1.5714285714285714</v>
      </c>
      <c r="P53">
        <f t="shared" si="20"/>
        <v>13.2</v>
      </c>
      <c r="Q53">
        <f t="shared" si="21"/>
        <v>1.8E-3</v>
      </c>
      <c r="R53">
        <f t="shared" si="22"/>
        <v>1</v>
      </c>
      <c r="T53">
        <f>$AM$3</f>
        <v>0.24</v>
      </c>
      <c r="U53">
        <f>$AM$4</f>
        <v>0.11</v>
      </c>
      <c r="V53">
        <f>$AJ$5</f>
        <v>0.6784</v>
      </c>
      <c r="X53">
        <f t="shared" si="16"/>
        <v>0.78</v>
      </c>
      <c r="Y53">
        <f t="shared" si="23"/>
        <v>0</v>
      </c>
      <c r="Z53">
        <f>$AI$33</f>
        <v>4.7000000000000002E-3</v>
      </c>
      <c r="AA53">
        <f t="shared" si="24"/>
        <v>5.5128819200000003E-4</v>
      </c>
      <c r="AB53">
        <f t="shared" si="25"/>
        <v>0</v>
      </c>
      <c r="AC53">
        <f t="shared" si="26"/>
        <v>3.4207432313599999</v>
      </c>
      <c r="AD53">
        <f t="shared" si="27"/>
        <v>3.4207432313600001E-3</v>
      </c>
      <c r="AI53">
        <v>26</v>
      </c>
      <c r="AJ53">
        <v>0.79</v>
      </c>
    </row>
    <row r="54" spans="1:36" ht="17">
      <c r="A54" s="3" t="s">
        <v>24</v>
      </c>
      <c r="B54" s="2" t="s">
        <v>17</v>
      </c>
      <c r="C54">
        <v>18</v>
      </c>
      <c r="D54" t="s">
        <v>58</v>
      </c>
      <c r="E54" s="2" t="s">
        <v>76</v>
      </c>
      <c r="F54">
        <v>23</v>
      </c>
      <c r="I54" s="2" t="s">
        <v>28</v>
      </c>
      <c r="J54">
        <f t="shared" si="17"/>
        <v>0.91</v>
      </c>
      <c r="K54">
        <f>$AM$5</f>
        <v>0.19</v>
      </c>
      <c r="L54" t="s">
        <v>57</v>
      </c>
      <c r="M54">
        <f t="shared" si="18"/>
        <v>0</v>
      </c>
      <c r="N54">
        <f t="shared" si="19"/>
        <v>1</v>
      </c>
      <c r="O54">
        <f>$AJ$4</f>
        <v>1.5714285714285714</v>
      </c>
      <c r="P54">
        <f t="shared" si="20"/>
        <v>13.2</v>
      </c>
      <c r="Q54">
        <f t="shared" si="21"/>
        <v>1.8E-3</v>
      </c>
      <c r="R54">
        <f t="shared" si="22"/>
        <v>0</v>
      </c>
      <c r="T54">
        <f>$AM$3</f>
        <v>0.24</v>
      </c>
      <c r="U54">
        <f>$AM$4</f>
        <v>0.11</v>
      </c>
      <c r="V54">
        <f>$AJ$5</f>
        <v>0.6784</v>
      </c>
      <c r="X54">
        <f t="shared" si="16"/>
        <v>0.79</v>
      </c>
      <c r="Y54">
        <f t="shared" si="23"/>
        <v>0</v>
      </c>
      <c r="Z54">
        <f>$AI$33</f>
        <v>4.7000000000000002E-3</v>
      </c>
      <c r="AA54">
        <f t="shared" si="24"/>
        <v>5.5128819200000003E-4</v>
      </c>
      <c r="AB54">
        <f t="shared" si="25"/>
        <v>0</v>
      </c>
      <c r="AC54">
        <f t="shared" si="26"/>
        <v>3.6219634214399998</v>
      </c>
      <c r="AD54">
        <f t="shared" si="27"/>
        <v>3.6219634214399998E-3</v>
      </c>
      <c r="AI54">
        <v>27</v>
      </c>
      <c r="AJ54">
        <v>0.8</v>
      </c>
    </row>
    <row r="55" spans="1:36" ht="17">
      <c r="A55" s="3" t="s">
        <v>24</v>
      </c>
      <c r="B55" s="2" t="s">
        <v>18</v>
      </c>
      <c r="C55">
        <v>19</v>
      </c>
      <c r="D55" t="s">
        <v>57</v>
      </c>
      <c r="E55" s="2" t="s">
        <v>77</v>
      </c>
      <c r="F55">
        <v>24</v>
      </c>
      <c r="I55" s="2" t="s">
        <v>65</v>
      </c>
      <c r="J55">
        <f t="shared" si="17"/>
        <v>0.91</v>
      </c>
      <c r="K55">
        <f>$AM$5</f>
        <v>0.19</v>
      </c>
      <c r="L55" t="s">
        <v>57</v>
      </c>
      <c r="M55">
        <f t="shared" si="18"/>
        <v>0</v>
      </c>
      <c r="N55">
        <f t="shared" si="19"/>
        <v>1</v>
      </c>
      <c r="O55">
        <f>$AJ$4</f>
        <v>1.5714285714285714</v>
      </c>
      <c r="P55">
        <f t="shared" si="20"/>
        <v>13.2</v>
      </c>
      <c r="Q55">
        <f t="shared" si="21"/>
        <v>2.8999999999999998E-3</v>
      </c>
      <c r="R55">
        <f t="shared" si="22"/>
        <v>1</v>
      </c>
      <c r="T55">
        <f>$AM$3</f>
        <v>0.24</v>
      </c>
      <c r="U55">
        <f>$AM$4</f>
        <v>0.11</v>
      </c>
      <c r="V55">
        <f>$AJ$5</f>
        <v>0.6784</v>
      </c>
      <c r="X55">
        <f t="shared" si="16"/>
        <v>0.79</v>
      </c>
      <c r="Y55">
        <f t="shared" si="23"/>
        <v>0</v>
      </c>
      <c r="Z55">
        <f>$AI$33</f>
        <v>4.7000000000000002E-3</v>
      </c>
      <c r="AA55">
        <f t="shared" si="24"/>
        <v>5.5128819200000003E-4</v>
      </c>
      <c r="AB55">
        <f t="shared" si="25"/>
        <v>0</v>
      </c>
      <c r="AC55">
        <f t="shared" si="26"/>
        <v>3.8231836115200006</v>
      </c>
      <c r="AD55">
        <f t="shared" si="27"/>
        <v>3.8231836115200008E-3</v>
      </c>
      <c r="AI55" t="s">
        <v>93</v>
      </c>
      <c r="AJ55">
        <v>0.8</v>
      </c>
    </row>
    <row r="56" spans="1:36">
      <c r="A56" s="2" t="s">
        <v>19</v>
      </c>
      <c r="B56" s="2" t="s">
        <v>19</v>
      </c>
      <c r="C56">
        <v>20</v>
      </c>
      <c r="D56" t="s">
        <v>58</v>
      </c>
      <c r="E56" s="2" t="s">
        <v>78</v>
      </c>
      <c r="F56">
        <v>25</v>
      </c>
      <c r="I56" s="2" t="s">
        <v>66</v>
      </c>
      <c r="J56">
        <f t="shared" si="17"/>
        <v>2.73</v>
      </c>
      <c r="K56">
        <f>$AM$5</f>
        <v>0.19</v>
      </c>
      <c r="L56" t="s">
        <v>57</v>
      </c>
      <c r="M56">
        <f t="shared" si="18"/>
        <v>0</v>
      </c>
      <c r="N56">
        <f t="shared" si="19"/>
        <v>1</v>
      </c>
      <c r="O56">
        <f>$AJ$4</f>
        <v>1.5714285714285714</v>
      </c>
      <c r="P56">
        <f t="shared" si="20"/>
        <v>39.5</v>
      </c>
      <c r="Q56">
        <f t="shared" si="21"/>
        <v>8.0000000000000002E-3</v>
      </c>
      <c r="R56">
        <f t="shared" si="22"/>
        <v>0</v>
      </c>
      <c r="T56">
        <f>$AM$3</f>
        <v>0.24</v>
      </c>
      <c r="U56">
        <f>$AM$4</f>
        <v>0.11</v>
      </c>
      <c r="V56">
        <f>$AJ$5</f>
        <v>0.6784</v>
      </c>
      <c r="X56">
        <f t="shared" si="16"/>
        <v>0.79</v>
      </c>
      <c r="Y56">
        <f t="shared" si="23"/>
        <v>0</v>
      </c>
      <c r="Z56">
        <f>$AI$33</f>
        <v>4.7000000000000002E-3</v>
      </c>
      <c r="AA56">
        <f t="shared" si="24"/>
        <v>1.6538645760000002E-3</v>
      </c>
      <c r="AB56">
        <f t="shared" si="25"/>
        <v>0</v>
      </c>
      <c r="AC56">
        <f t="shared" si="26"/>
        <v>12.0732114048</v>
      </c>
      <c r="AD56">
        <f t="shared" si="27"/>
        <v>1.2073211404800001E-2</v>
      </c>
    </row>
    <row r="57" spans="1:36">
      <c r="A57" s="2" t="s">
        <v>20</v>
      </c>
      <c r="B57" s="2" t="s">
        <v>20</v>
      </c>
      <c r="C57">
        <v>21</v>
      </c>
      <c r="D57" t="s">
        <v>57</v>
      </c>
      <c r="E57" s="2" t="s">
        <v>79</v>
      </c>
      <c r="F57">
        <v>26</v>
      </c>
      <c r="I57" s="2" t="s">
        <v>67</v>
      </c>
      <c r="J57">
        <f t="shared" si="17"/>
        <v>0.34</v>
      </c>
      <c r="K57">
        <f>$AM$5</f>
        <v>0.19</v>
      </c>
      <c r="L57" t="s">
        <v>57</v>
      </c>
      <c r="M57">
        <f t="shared" si="18"/>
        <v>0</v>
      </c>
      <c r="N57">
        <f t="shared" si="19"/>
        <v>1</v>
      </c>
      <c r="O57">
        <f>$AJ$4</f>
        <v>1.5714285714285714</v>
      </c>
      <c r="P57">
        <f t="shared" si="20"/>
        <v>7</v>
      </c>
      <c r="Q57">
        <f t="shared" si="21"/>
        <v>1.9900000000000001E-2</v>
      </c>
      <c r="R57">
        <f t="shared" si="22"/>
        <v>1</v>
      </c>
      <c r="T57">
        <f>$AM$3</f>
        <v>0.24</v>
      </c>
      <c r="U57">
        <f>$AM$4</f>
        <v>0.11</v>
      </c>
      <c r="V57">
        <f>$AJ$5</f>
        <v>0.6784</v>
      </c>
      <c r="X57">
        <f t="shared" si="16"/>
        <v>0.79</v>
      </c>
      <c r="Y57">
        <f t="shared" si="23"/>
        <v>0</v>
      </c>
      <c r="Z57">
        <f>$AI$33</f>
        <v>4.7000000000000002E-3</v>
      </c>
      <c r="AA57">
        <f t="shared" si="24"/>
        <v>2.0597580800000003E-4</v>
      </c>
      <c r="AB57">
        <f t="shared" si="25"/>
        <v>0</v>
      </c>
      <c r="AC57">
        <f t="shared" si="26"/>
        <v>1.57880456832</v>
      </c>
      <c r="AD57">
        <f t="shared" si="27"/>
        <v>1.5788045683200001E-3</v>
      </c>
    </row>
    <row r="58" spans="1:36">
      <c r="A58" s="2" t="s">
        <v>21</v>
      </c>
      <c r="B58" s="2" t="s">
        <v>21</v>
      </c>
      <c r="C58">
        <v>22</v>
      </c>
      <c r="D58" t="s">
        <v>58</v>
      </c>
      <c r="E58" s="2" t="s">
        <v>80</v>
      </c>
      <c r="F58">
        <v>27</v>
      </c>
      <c r="I58" s="2" t="s">
        <v>68</v>
      </c>
      <c r="J58">
        <f t="shared" si="17"/>
        <v>2.73</v>
      </c>
      <c r="K58">
        <f>$AM$5</f>
        <v>0.19</v>
      </c>
      <c r="L58" t="s">
        <v>57</v>
      </c>
      <c r="M58">
        <f t="shared" si="18"/>
        <v>0</v>
      </c>
      <c r="N58">
        <f t="shared" si="19"/>
        <v>1</v>
      </c>
      <c r="O58">
        <f>$AJ$4</f>
        <v>1.5714285714285714</v>
      </c>
      <c r="P58">
        <f t="shared" si="20"/>
        <v>39.5</v>
      </c>
      <c r="Q58">
        <f t="shared" si="21"/>
        <v>5.3E-3</v>
      </c>
      <c r="R58">
        <f t="shared" si="22"/>
        <v>0</v>
      </c>
      <c r="T58">
        <f>$AM$3</f>
        <v>0.24</v>
      </c>
      <c r="U58">
        <f>$AM$4</f>
        <v>0.11</v>
      </c>
      <c r="V58">
        <f>$AJ$5</f>
        <v>0.6784</v>
      </c>
      <c r="X58">
        <f t="shared" si="16"/>
        <v>0.8</v>
      </c>
      <c r="Y58">
        <f t="shared" si="23"/>
        <v>0</v>
      </c>
      <c r="Z58">
        <f>$AI$33</f>
        <v>4.7000000000000002E-3</v>
      </c>
      <c r="AA58">
        <f t="shared" si="24"/>
        <v>1.6538645760000002E-3</v>
      </c>
      <c r="AB58">
        <f t="shared" si="25"/>
        <v>0</v>
      </c>
      <c r="AC58">
        <f t="shared" si="26"/>
        <v>13.28053254528</v>
      </c>
      <c r="AD58">
        <f t="shared" si="27"/>
        <v>1.3280532545279999E-2</v>
      </c>
    </row>
    <row r="59" spans="1:36">
      <c r="A59" s="2" t="s">
        <v>22</v>
      </c>
      <c r="B59" s="2" t="s">
        <v>22</v>
      </c>
      <c r="C59">
        <v>23</v>
      </c>
      <c r="D59" t="s">
        <v>57</v>
      </c>
      <c r="E59" s="2" t="s">
        <v>81</v>
      </c>
      <c r="F59" t="s">
        <v>93</v>
      </c>
      <c r="I59" s="2" t="s">
        <v>69</v>
      </c>
      <c r="J59">
        <f t="shared" si="17"/>
        <v>0.91</v>
      </c>
      <c r="K59">
        <f>$AM$5</f>
        <v>0.19</v>
      </c>
      <c r="L59" t="s">
        <v>57</v>
      </c>
      <c r="M59">
        <f t="shared" si="18"/>
        <v>0</v>
      </c>
      <c r="N59">
        <f t="shared" si="19"/>
        <v>1</v>
      </c>
      <c r="O59">
        <f>$AJ$4</f>
        <v>1.5714285714285714</v>
      </c>
      <c r="P59">
        <f t="shared" si="20"/>
        <v>13.2</v>
      </c>
      <c r="Q59">
        <f t="shared" si="21"/>
        <v>6.4000000000000003E-3</v>
      </c>
      <c r="R59">
        <f t="shared" si="22"/>
        <v>1</v>
      </c>
      <c r="T59">
        <f>$AM$3</f>
        <v>0.24</v>
      </c>
      <c r="U59">
        <f>$AM$4</f>
        <v>0.11</v>
      </c>
      <c r="V59">
        <f>$AJ$5</f>
        <v>0.6784</v>
      </c>
      <c r="X59">
        <f t="shared" si="16"/>
        <v>0.8</v>
      </c>
      <c r="Y59">
        <f t="shared" si="23"/>
        <v>0</v>
      </c>
      <c r="Z59">
        <f>$AI$33</f>
        <v>4.7000000000000002E-3</v>
      </c>
      <c r="AA59">
        <f t="shared" si="24"/>
        <v>5.5128819200000003E-4</v>
      </c>
      <c r="AB59">
        <f t="shared" si="25"/>
        <v>0</v>
      </c>
      <c r="AC59">
        <f t="shared" si="26"/>
        <v>4.6280643718399999</v>
      </c>
      <c r="AD59">
        <f t="shared" si="27"/>
        <v>4.6280643718400001E-3</v>
      </c>
    </row>
    <row r="60" spans="1:36">
      <c r="A60" s="2" t="s">
        <v>64</v>
      </c>
      <c r="B60" s="2" t="s">
        <v>23</v>
      </c>
      <c r="C60">
        <v>24</v>
      </c>
      <c r="D60" t="s">
        <v>58</v>
      </c>
      <c r="E60" s="2" t="s">
        <v>82</v>
      </c>
      <c r="F60">
        <v>20</v>
      </c>
      <c r="I60" s="2" t="s">
        <v>70</v>
      </c>
      <c r="J60">
        <f t="shared" si="17"/>
        <v>0.34</v>
      </c>
      <c r="K60">
        <f>$AM$5</f>
        <v>0.19</v>
      </c>
      <c r="L60" t="s">
        <v>57</v>
      </c>
      <c r="M60">
        <f t="shared" si="18"/>
        <v>0</v>
      </c>
      <c r="N60">
        <f t="shared" si="19"/>
        <v>1</v>
      </c>
      <c r="O60">
        <f>$AJ$4</f>
        <v>1.5714285714285714</v>
      </c>
      <c r="P60">
        <f t="shared" si="20"/>
        <v>7</v>
      </c>
      <c r="Q60">
        <f t="shared" si="21"/>
        <v>2.5999999999999999E-3</v>
      </c>
      <c r="R60">
        <f t="shared" si="22"/>
        <v>0</v>
      </c>
      <c r="T60">
        <f>$AM$3</f>
        <v>0.24</v>
      </c>
      <c r="U60">
        <f>$AM$4</f>
        <v>0.11</v>
      </c>
      <c r="V60">
        <f>$AJ$5</f>
        <v>0.6784</v>
      </c>
      <c r="X60">
        <f t="shared" si="16"/>
        <v>0.78</v>
      </c>
      <c r="Y60">
        <f t="shared" si="23"/>
        <v>0</v>
      </c>
      <c r="Z60">
        <f>$AI$33</f>
        <v>4.7000000000000002E-3</v>
      </c>
      <c r="AA60">
        <f t="shared" si="24"/>
        <v>2.0597580800000003E-4</v>
      </c>
      <c r="AB60">
        <f t="shared" si="25"/>
        <v>0</v>
      </c>
      <c r="AC60">
        <f t="shared" si="26"/>
        <v>1.8043480780800005</v>
      </c>
      <c r="AD60">
        <f t="shared" si="27"/>
        <v>1.8043480780800005E-3</v>
      </c>
    </row>
    <row r="61" spans="1:36">
      <c r="E61" s="2"/>
    </row>
    <row r="62" spans="1:36">
      <c r="E62" s="2"/>
    </row>
    <row r="63" spans="1:36">
      <c r="E63" s="2"/>
    </row>
    <row r="64" spans="1:36">
      <c r="E64" s="2"/>
    </row>
  </sheetData>
  <mergeCells count="1">
    <mergeCell ref="AM18:AM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4.7.1.1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2026-04-27T09:59:46Z</dcterms:modified>
</cp:coreProperties>
</file>