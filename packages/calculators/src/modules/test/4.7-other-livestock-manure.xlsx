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ddiesholl/Code/aginnovationaustralia/emissions-calculators/packages/calculators/src/modules/test/"/>
    </mc:Choice>
  </mc:AlternateContent>
  <xr:revisionPtr revIDLastSave="0" documentId="13_ncr:1_{47116608-09EC-0345-95F2-F5B53AF80DF7}" xr6:coauthVersionLast="47" xr6:coauthVersionMax="47" xr10:uidLastSave="{00000000-0000-0000-0000-000000000000}"/>
  <bookViews>
    <workbookView xWindow="51360" yWindow="6120" windowWidth="28800" windowHeight="25760" xr2:uid="{5678E890-3691-CF46-80E7-00FB1F103661}"/>
  </bookViews>
  <sheets>
    <sheet name="4.7.1.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3" i="1" l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M13" i="1"/>
  <c r="L13" i="1" s="1"/>
  <c r="M14" i="1"/>
  <c r="L14" i="1" s="1"/>
  <c r="M15" i="1"/>
  <c r="L15" i="1" s="1"/>
  <c r="M16" i="1"/>
  <c r="L16" i="1" s="1"/>
  <c r="M17" i="1"/>
  <c r="L17" i="1" s="1"/>
  <c r="M18" i="1"/>
  <c r="L18" i="1" s="1"/>
  <c r="M19" i="1"/>
  <c r="L19" i="1" s="1"/>
  <c r="M20" i="1"/>
  <c r="L20" i="1" s="1"/>
  <c r="M21" i="1"/>
  <c r="L21" i="1" s="1"/>
  <c r="M22" i="1"/>
  <c r="L22" i="1" s="1"/>
  <c r="M23" i="1"/>
  <c r="L23" i="1" s="1"/>
  <c r="M24" i="1"/>
  <c r="L24" i="1" s="1"/>
  <c r="M25" i="1"/>
  <c r="M26" i="1"/>
  <c r="L26" i="1" s="1"/>
  <c r="M27" i="1"/>
  <c r="M28" i="1"/>
  <c r="L28" i="1" s="1"/>
  <c r="M29" i="1"/>
  <c r="M30" i="1"/>
  <c r="L25" i="1"/>
  <c r="L27" i="1"/>
  <c r="L29" i="1"/>
  <c r="L30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O12" i="1"/>
  <c r="P12" i="1"/>
  <c r="Q12" i="1"/>
  <c r="S12" i="1"/>
  <c r="T12" i="1"/>
  <c r="U12" i="1"/>
  <c r="W12" i="1"/>
  <c r="Y12" i="1"/>
  <c r="I12" i="1"/>
  <c r="J12" i="1"/>
  <c r="W11" i="1"/>
  <c r="Y11" i="1"/>
  <c r="T11" i="1"/>
  <c r="S11" i="1"/>
  <c r="P11" i="1"/>
  <c r="I11" i="1"/>
  <c r="O11" i="1"/>
  <c r="J11" i="1"/>
  <c r="U11" i="1"/>
  <c r="M12" i="1"/>
  <c r="L12" i="1" s="1"/>
  <c r="M11" i="1"/>
  <c r="L11" i="1" s="1"/>
  <c r="Q11" i="1"/>
  <c r="AH4" i="1"/>
  <c r="N11" i="1" s="1"/>
  <c r="Z12" i="1" l="1"/>
  <c r="AB12" i="1" s="1"/>
  <c r="Z24" i="1"/>
  <c r="AB24" i="1" s="1"/>
  <c r="Z23" i="1"/>
  <c r="AB23" i="1" s="1"/>
  <c r="Z28" i="1"/>
  <c r="AB28" i="1" s="1"/>
  <c r="N28" i="1"/>
  <c r="Z21" i="1"/>
  <c r="AB21" i="1" s="1"/>
  <c r="Z27" i="1"/>
  <c r="AB27" i="1" s="1"/>
  <c r="Z15" i="1"/>
  <c r="AB15" i="1" s="1"/>
  <c r="N18" i="1"/>
  <c r="Z30" i="1"/>
  <c r="AB30" i="1" s="1"/>
  <c r="Z29" i="1"/>
  <c r="AB29" i="1" s="1"/>
  <c r="Z16" i="1"/>
  <c r="AB16" i="1" s="1"/>
  <c r="Z20" i="1"/>
  <c r="AB20" i="1" s="1"/>
  <c r="Z26" i="1"/>
  <c r="AB26" i="1" s="1"/>
  <c r="X14" i="1"/>
  <c r="AA14" i="1" s="1"/>
  <c r="N17" i="1"/>
  <c r="X12" i="1"/>
  <c r="AA12" i="1" s="1"/>
  <c r="X18" i="1"/>
  <c r="AA18" i="1" s="1"/>
  <c r="N30" i="1"/>
  <c r="Z17" i="1"/>
  <c r="AB17" i="1" s="1"/>
  <c r="N29" i="1"/>
  <c r="X22" i="1"/>
  <c r="AA22" i="1" s="1"/>
  <c r="Z19" i="1"/>
  <c r="AB19" i="1" s="1"/>
  <c r="Z25" i="1"/>
  <c r="AB25" i="1" s="1"/>
  <c r="X13" i="1"/>
  <c r="AA13" i="1" s="1"/>
  <c r="N16" i="1"/>
  <c r="X30" i="1"/>
  <c r="AA30" i="1" s="1"/>
  <c r="Z18" i="1"/>
  <c r="AB18" i="1" s="1"/>
  <c r="X29" i="1"/>
  <c r="AA29" i="1" s="1"/>
  <c r="X17" i="1"/>
  <c r="AA17" i="1" s="1"/>
  <c r="X28" i="1"/>
  <c r="AA28" i="1" s="1"/>
  <c r="AC28" i="1" s="1"/>
  <c r="X27" i="1"/>
  <c r="AA27" i="1" s="1"/>
  <c r="AC27" i="1" s="1"/>
  <c r="X26" i="1"/>
  <c r="AA26" i="1" s="1"/>
  <c r="AC26" i="1" s="1"/>
  <c r="Z14" i="1"/>
  <c r="AB14" i="1" s="1"/>
  <c r="AC14" i="1" s="1"/>
  <c r="X24" i="1"/>
  <c r="AA24" i="1" s="1"/>
  <c r="AC24" i="1" s="1"/>
  <c r="N23" i="1"/>
  <c r="Z22" i="1"/>
  <c r="AB22" i="1" s="1"/>
  <c r="N21" i="1"/>
  <c r="X21" i="1"/>
  <c r="AA21" i="1" s="1"/>
  <c r="N27" i="1"/>
  <c r="N15" i="1"/>
  <c r="X15" i="1"/>
  <c r="AA15" i="1" s="1"/>
  <c r="N14" i="1"/>
  <c r="N12" i="1"/>
  <c r="N25" i="1"/>
  <c r="X25" i="1"/>
  <c r="AA25" i="1" s="1"/>
  <c r="Z13" i="1"/>
  <c r="AB13" i="1" s="1"/>
  <c r="AC13" i="1" s="1"/>
  <c r="N24" i="1"/>
  <c r="X23" i="1"/>
  <c r="AA23" i="1" s="1"/>
  <c r="N22" i="1"/>
  <c r="N20" i="1"/>
  <c r="X20" i="1"/>
  <c r="AA20" i="1" s="1"/>
  <c r="AC20" i="1" s="1"/>
  <c r="X16" i="1"/>
  <c r="AA16" i="1" s="1"/>
  <c r="N26" i="1"/>
  <c r="N13" i="1"/>
  <c r="N19" i="1"/>
  <c r="X19" i="1"/>
  <c r="AA19" i="1" s="1"/>
  <c r="AC12" i="1"/>
  <c r="X11" i="1"/>
  <c r="AA11" i="1" s="1"/>
  <c r="AC11" i="1" s="1"/>
  <c r="Z11" i="1"/>
  <c r="AB11" i="1" s="1"/>
  <c r="AC16" i="1" l="1"/>
  <c r="AC25" i="1"/>
  <c r="AC17" i="1"/>
  <c r="AC29" i="1"/>
  <c r="AC30" i="1"/>
  <c r="AC22" i="1"/>
  <c r="AC19" i="1"/>
  <c r="AC15" i="1"/>
  <c r="AC18" i="1"/>
  <c r="AC21" i="1"/>
  <c r="AC23" i="1"/>
</calcChain>
</file>

<file path=xl/sharedStrings.xml><?xml version="1.0" encoding="utf-8"?>
<sst xmlns="http://schemas.openxmlformats.org/spreadsheetml/2006/main" count="220" uniqueCount="92">
  <si>
    <t>Livestock type</t>
  </si>
  <si>
    <t>Class</t>
  </si>
  <si>
    <t>Nj</t>
  </si>
  <si>
    <t>Buffalo</t>
  </si>
  <si>
    <t>Bulls</t>
  </si>
  <si>
    <t>Cows</t>
  </si>
  <si>
    <t>Steers</t>
  </si>
  <si>
    <t>Calves</t>
  </si>
  <si>
    <t>Bucks/Billy</t>
  </si>
  <si>
    <t>Wethers</t>
  </si>
  <si>
    <t>Maiden breeding</t>
  </si>
  <si>
    <t>does/nannies</t>
  </si>
  <si>
    <t>Breeding does/nannies</t>
  </si>
  <si>
    <t>Other</t>
  </si>
  <si>
    <t>Kids</t>
  </si>
  <si>
    <t>Bucks</t>
  </si>
  <si>
    <t>Breeding Does</t>
  </si>
  <si>
    <t>Other Does</t>
  </si>
  <si>
    <t>Fawn</t>
  </si>
  <si>
    <t>Camels</t>
  </si>
  <si>
    <t>Alpacas</t>
  </si>
  <si>
    <t>Horses</t>
  </si>
  <si>
    <t>Mules/asses</t>
  </si>
  <si>
    <t>Emus/Ostriches</t>
  </si>
  <si>
    <t>Deer</t>
  </si>
  <si>
    <t>Goats</t>
  </si>
  <si>
    <t>MCF</t>
  </si>
  <si>
    <t>Methane coversion factor</t>
  </si>
  <si>
    <t>ACT</t>
  </si>
  <si>
    <t>Uncovered anaerobic lagoon</t>
  </si>
  <si>
    <t>MCF pasture</t>
  </si>
  <si>
    <t>MCF by climate zone</t>
  </si>
  <si>
    <t>MAT</t>
  </si>
  <si>
    <t>≤10</t>
  </si>
  <si>
    <t>≥28</t>
  </si>
  <si>
    <t>Climate zone</t>
  </si>
  <si>
    <t>State</t>
  </si>
  <si>
    <t>VSj</t>
  </si>
  <si>
    <t>Appendix A.1.5.2</t>
  </si>
  <si>
    <t>Stock excluded</t>
  </si>
  <si>
    <t>Cn2o</t>
  </si>
  <si>
    <t>p</t>
  </si>
  <si>
    <t>EFprp</t>
  </si>
  <si>
    <t>wet</t>
  </si>
  <si>
    <t>dry</t>
  </si>
  <si>
    <t>is wet climate zone</t>
  </si>
  <si>
    <t>NEj</t>
  </si>
  <si>
    <t>EFn2o</t>
  </si>
  <si>
    <t>Leaching zone</t>
  </si>
  <si>
    <t>FracWET</t>
  </si>
  <si>
    <t>FracGASMsoil</t>
  </si>
  <si>
    <t>FracLEACH</t>
  </si>
  <si>
    <t>EFleach</t>
  </si>
  <si>
    <t>Average annual head</t>
  </si>
  <si>
    <t>Ech4</t>
  </si>
  <si>
    <t>4.7 1704</t>
  </si>
  <si>
    <r>
      <t xml:space="preserve">𝑀 </t>
    </r>
    <r>
      <rPr>
        <sz val="8"/>
        <color rgb="FF000000"/>
        <rFont val="Helvetica"/>
        <family val="2"/>
      </rPr>
      <t xml:space="preserve">𝑗𝑚 </t>
    </r>
    <r>
      <rPr>
        <sz val="11"/>
        <color rgb="FF000000"/>
        <rFont val="Helvetica"/>
        <family val="2"/>
      </rPr>
      <t xml:space="preserve">= 𝑉𝑆 </t>
    </r>
    <r>
      <rPr>
        <sz val="8"/>
        <color rgb="FF000000"/>
        <rFont val="Helvetica"/>
        <family val="2"/>
      </rPr>
      <t>𝑗</t>
    </r>
    <r>
      <rPr>
        <sz val="11"/>
        <color rgb="FF000000"/>
        <rFont val="Helvetica"/>
        <family val="2"/>
      </rPr>
      <t xml:space="preserve"> × 𝐵</t>
    </r>
    <r>
      <rPr>
        <sz val="8"/>
        <color rgb="FF000000"/>
        <rFont val="Helvetica"/>
        <family val="2"/>
      </rPr>
      <t xml:space="preserve">𝑂 </t>
    </r>
    <r>
      <rPr>
        <sz val="11"/>
        <color rgb="FF000000"/>
        <rFont val="Helvetica"/>
        <family val="2"/>
      </rPr>
      <t>× 𝑀𝑀𝑆</t>
    </r>
    <r>
      <rPr>
        <sz val="8"/>
        <color rgb="FF000000"/>
        <rFont val="Helvetica"/>
        <family val="2"/>
      </rPr>
      <t>𝑚</t>
    </r>
    <r>
      <rPr>
        <sz val="11"/>
        <color rgb="FF000000"/>
        <rFont val="Helvetica"/>
        <family val="2"/>
      </rPr>
      <t xml:space="preserve"> × 𝑀𝐶𝐹 </t>
    </r>
    <r>
      <rPr>
        <sz val="8"/>
        <color rgb="FF000000"/>
        <rFont val="Helvetica"/>
        <family val="2"/>
      </rPr>
      <t xml:space="preserve">𝑖𝑚 </t>
    </r>
    <r>
      <rPr>
        <sz val="11"/>
        <color rgb="FF000000"/>
        <rFont val="Helvetica"/>
        <family val="2"/>
      </rPr>
      <t>× 𝜌</t>
    </r>
  </si>
  <si>
    <t>MMSm=14</t>
  </si>
  <si>
    <t>MMSm=1</t>
  </si>
  <si>
    <t>yes</t>
  </si>
  <si>
    <t>no</t>
  </si>
  <si>
    <t>Mjm=14</t>
  </si>
  <si>
    <t>Mjm=1</t>
  </si>
  <si>
    <t>Bo</t>
  </si>
  <si>
    <t>MCFim=1</t>
  </si>
  <si>
    <t>MCFim=14</t>
  </si>
  <si>
    <t>Emus/ostriches</t>
  </si>
  <si>
    <t>NSW</t>
  </si>
  <si>
    <t>NT</t>
  </si>
  <si>
    <t>QLD</t>
  </si>
  <si>
    <t>SA</t>
  </si>
  <si>
    <t>TAS</t>
  </si>
  <si>
    <t>VIC</t>
  </si>
  <si>
    <t>WA</t>
  </si>
  <si>
    <t>constant</t>
  </si>
  <si>
    <t>Pasture type</t>
  </si>
  <si>
    <t>Irrigated crop</t>
  </si>
  <si>
    <t>Irrigated pasture</t>
  </si>
  <si>
    <t>Non-irrigated pasture</t>
  </si>
  <si>
    <t>Non-irrigated crop (low rainfall)</t>
  </si>
  <si>
    <t>Non-irrigated crop (high rainfall)</t>
  </si>
  <si>
    <t>Sugar</t>
  </si>
  <si>
    <t>Cotton</t>
  </si>
  <si>
    <t>Horticultural crops</t>
  </si>
  <si>
    <t>Aquaculture</t>
  </si>
  <si>
    <t>Rice (continuous flooding)</t>
  </si>
  <si>
    <t>Rice (partial flooding)</t>
  </si>
  <si>
    <t>Forestry</t>
  </si>
  <si>
    <t>Ech4m=1</t>
  </si>
  <si>
    <t>Ech4m=14</t>
  </si>
  <si>
    <t>input</t>
  </si>
  <si>
    <t>FracGASMSoil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</si>
</sst>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Aptos Narrow"/>
      <family val="2"/>
      <scheme val="minor"/>
    </font>
    <font>
      <sz val="11"/>
      <color rgb="FF000000"/>
      <name val="Helvetica"/>
      <family val="2"/>
    </font>
    <font>
      <sz val="8"/>
      <color rgb="FF000000"/>
      <name val="Helvetica"/>
      <family val="2"/>
    </font>
    <font>
      <sz val="12"/>
      <color theme="1"/>
      <name val="Helvetica"/>
      <family val="2"/>
    </font>
    <font>
      <sz val="12"/>
      <name val="Aptos Narrow"/>
      <scheme val="minor"/>
    </font>
    <font>
      <b/>
      <sz val="12"/>
      <name val="Aptos Narrow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4" fillId="2" borderId="0" xfId="0" applyFont="1" applyFill="1" applyAlignment="1">
      <alignment wrapText="1"/>
    </xf>
    <xf numFmtId="0" fontId="0" fillId="2" borderId="0" xfId="0" applyFill="1"/>
    <xf numFmtId="0" fontId="6" fillId="0" borderId="0" xfId="0" applyFont="1"/>
    <xf numFmtId="0" fontId="3" fillId="2" borderId="0" xfId="0" applyFont="1" applyFill="1"/>
    <xf numFmtId="0" fontId="0" fillId="3" borderId="0" xfId="0" applyFill="1"/>
    <xf numFmtId="0" fontId="3" fillId="0" borderId="0" xfId="0" applyFon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5655F-5BFE-554E-A3D3-9DFA9517010F}">
  <dimension ref="A1:AM55"/>
  <sheetViews>
    <sheetView tabSelected="1" topLeftCell="M1" workbookViewId="0">
      <selection activeCell="AA11" sqref="AA11"/>
    </sheetView>
  </sheetViews>
  <sheetFormatPr baseColWidth="10" defaultRowHeight="16"/>
  <cols>
    <col min="1" max="1" width="17.33203125" style="3" customWidth="1"/>
    <col min="2" max="2" width="22.6640625" bestFit="1" customWidth="1"/>
    <col min="3" max="3" width="17.83203125" bestFit="1" customWidth="1"/>
    <col min="4" max="4" width="26.6640625" customWidth="1"/>
    <col min="5" max="5" width="29.6640625" customWidth="1"/>
    <col min="6" max="7" width="12.1640625" customWidth="1"/>
    <col min="8" max="8" width="5.5" bestFit="1" customWidth="1"/>
    <col min="9" max="10" width="8.33203125" bestFit="1" customWidth="1"/>
    <col min="11" max="11" width="13.33203125" bestFit="1" customWidth="1"/>
    <col min="12" max="12" width="8.6640625" bestFit="1" customWidth="1"/>
    <col min="13" max="13" width="9.6640625" bestFit="1" customWidth="1"/>
    <col min="14" max="14" width="12.1640625" bestFit="1" customWidth="1"/>
    <col min="15" max="17" width="8.33203125" bestFit="1" customWidth="1"/>
    <col min="18" max="18" width="12.6640625" bestFit="1" customWidth="1"/>
    <col min="19" max="19" width="10.33203125" bestFit="1" customWidth="1"/>
    <col min="20" max="21" width="8.33203125" bestFit="1" customWidth="1"/>
    <col min="22" max="22" width="8.33203125" customWidth="1"/>
    <col min="23" max="23" width="9" bestFit="1" customWidth="1"/>
    <col min="24" max="24" width="6.6640625" bestFit="1" customWidth="1"/>
    <col min="25" max="25" width="10" bestFit="1" customWidth="1"/>
    <col min="26" max="26" width="19.33203125" customWidth="1"/>
    <col min="27" max="27" width="8.6640625" bestFit="1" customWidth="1"/>
    <col min="28" max="29" width="12.1640625" bestFit="1" customWidth="1"/>
    <col min="30" max="31" width="16.5" customWidth="1"/>
    <col min="33" max="34" width="16" customWidth="1"/>
    <col min="36" max="36" width="36" customWidth="1"/>
    <col min="38" max="38" width="35.83203125" bestFit="1" customWidth="1"/>
  </cols>
  <sheetData>
    <row r="1" spans="1:39">
      <c r="AH1" s="1"/>
    </row>
    <row r="2" spans="1:39">
      <c r="AH2" s="1"/>
    </row>
    <row r="3" spans="1:39">
      <c r="H3" s="1"/>
      <c r="I3" s="1"/>
      <c r="J3" s="1"/>
      <c r="K3" s="1"/>
      <c r="L3" s="1"/>
      <c r="M3" s="1"/>
      <c r="Z3" s="1" t="s">
        <v>56</v>
      </c>
      <c r="AA3" s="1"/>
      <c r="AB3" s="1"/>
      <c r="AG3" t="s">
        <v>50</v>
      </c>
      <c r="AH3">
        <v>0.21</v>
      </c>
      <c r="AJ3" s="7" t="s">
        <v>51</v>
      </c>
      <c r="AK3">
        <v>0.24</v>
      </c>
    </row>
    <row r="4" spans="1:39">
      <c r="C4">
        <v>1776</v>
      </c>
      <c r="I4">
        <v>1783</v>
      </c>
      <c r="J4">
        <v>383</v>
      </c>
      <c r="L4">
        <v>1785</v>
      </c>
      <c r="M4">
        <v>1785</v>
      </c>
      <c r="N4">
        <v>1786</v>
      </c>
      <c r="O4">
        <v>1790</v>
      </c>
      <c r="P4">
        <v>1791</v>
      </c>
      <c r="Q4">
        <v>1792</v>
      </c>
      <c r="R4">
        <v>1794</v>
      </c>
      <c r="S4">
        <v>1796</v>
      </c>
      <c r="T4">
        <v>1797</v>
      </c>
      <c r="U4">
        <v>1787</v>
      </c>
      <c r="V4">
        <v>1789</v>
      </c>
      <c r="W4">
        <v>1779</v>
      </c>
      <c r="Y4">
        <v>1779</v>
      </c>
      <c r="Z4" t="s">
        <v>55</v>
      </c>
      <c r="AG4" t="s">
        <v>40</v>
      </c>
      <c r="AH4">
        <f>44/28</f>
        <v>1.5714285714285714</v>
      </c>
      <c r="AJ4" t="s">
        <v>52</v>
      </c>
      <c r="AK4">
        <v>0.11</v>
      </c>
    </row>
    <row r="5" spans="1:39">
      <c r="C5" t="s">
        <v>90</v>
      </c>
      <c r="I5" t="s">
        <v>74</v>
      </c>
      <c r="J5" t="s">
        <v>74</v>
      </c>
      <c r="L5" t="s">
        <v>74</v>
      </c>
      <c r="M5" t="s">
        <v>74</v>
      </c>
      <c r="N5" t="s">
        <v>74</v>
      </c>
      <c r="O5" t="s">
        <v>74</v>
      </c>
      <c r="P5" t="s">
        <v>74</v>
      </c>
      <c r="Q5" t="s">
        <v>74</v>
      </c>
      <c r="R5" t="s">
        <v>74</v>
      </c>
      <c r="S5" t="s">
        <v>74</v>
      </c>
      <c r="T5" t="s">
        <v>74</v>
      </c>
      <c r="U5" t="s">
        <v>74</v>
      </c>
      <c r="V5" t="s">
        <v>74</v>
      </c>
      <c r="W5" t="s">
        <v>74</v>
      </c>
      <c r="Y5" t="s">
        <v>74</v>
      </c>
      <c r="AG5" t="s">
        <v>41</v>
      </c>
      <c r="AH5">
        <v>0.6784</v>
      </c>
      <c r="AJ5" t="s">
        <v>63</v>
      </c>
      <c r="AK5">
        <v>0.19</v>
      </c>
    </row>
    <row r="6" spans="1:39">
      <c r="A6" s="2"/>
      <c r="B6" s="2"/>
      <c r="AF6" t="s">
        <v>42</v>
      </c>
      <c r="AG6" t="s">
        <v>43</v>
      </c>
      <c r="AH6">
        <v>6.0000000000000001E-3</v>
      </c>
      <c r="AJ6" t="s">
        <v>47</v>
      </c>
    </row>
    <row r="7" spans="1:39">
      <c r="AG7" t="s">
        <v>44</v>
      </c>
      <c r="AH7">
        <v>2E-3</v>
      </c>
      <c r="AJ7" s="2"/>
      <c r="AK7" s="2"/>
    </row>
    <row r="8" spans="1:39">
      <c r="AJ8" s="2"/>
      <c r="AK8" s="2"/>
    </row>
    <row r="9" spans="1:39">
      <c r="A9" s="4"/>
      <c r="C9" t="s">
        <v>53</v>
      </c>
      <c r="AH9" t="s">
        <v>38</v>
      </c>
      <c r="AJ9" s="2"/>
      <c r="AK9" s="2"/>
      <c r="AM9" t="s">
        <v>47</v>
      </c>
    </row>
    <row r="10" spans="1:39" ht="17">
      <c r="A10" s="5" t="s">
        <v>0</v>
      </c>
      <c r="B10" s="8" t="s">
        <v>1</v>
      </c>
      <c r="C10" s="6" t="s">
        <v>2</v>
      </c>
      <c r="D10" s="6" t="s">
        <v>48</v>
      </c>
      <c r="E10" s="6" t="s">
        <v>75</v>
      </c>
      <c r="F10" t="s">
        <v>35</v>
      </c>
      <c r="G10" t="s">
        <v>45</v>
      </c>
      <c r="H10" s="11" t="s">
        <v>36</v>
      </c>
      <c r="I10" s="11" t="s">
        <v>37</v>
      </c>
      <c r="J10" s="11" t="s">
        <v>63</v>
      </c>
      <c r="K10" s="6" t="s">
        <v>39</v>
      </c>
      <c r="L10" s="11" t="s">
        <v>58</v>
      </c>
      <c r="M10" s="11" t="s">
        <v>57</v>
      </c>
      <c r="N10" s="11" t="s">
        <v>40</v>
      </c>
      <c r="O10" s="11" t="s">
        <v>46</v>
      </c>
      <c r="P10" s="11" t="s">
        <v>47</v>
      </c>
      <c r="Q10" s="11" t="s">
        <v>49</v>
      </c>
      <c r="R10" s="11" t="s">
        <v>91</v>
      </c>
      <c r="S10" s="11" t="s">
        <v>51</v>
      </c>
      <c r="T10" s="11" t="s">
        <v>52</v>
      </c>
      <c r="U10" s="11" t="s">
        <v>41</v>
      </c>
      <c r="V10" s="11" t="s">
        <v>42</v>
      </c>
      <c r="W10" s="11" t="s">
        <v>64</v>
      </c>
      <c r="X10" s="11" t="s">
        <v>62</v>
      </c>
      <c r="Y10" s="11" t="s">
        <v>65</v>
      </c>
      <c r="Z10" s="11" t="s">
        <v>61</v>
      </c>
      <c r="AA10" s="11" t="s">
        <v>88</v>
      </c>
      <c r="AB10" s="11" t="s">
        <v>89</v>
      </c>
      <c r="AC10" s="9" t="s">
        <v>54</v>
      </c>
      <c r="AD10" s="11"/>
      <c r="AE10" s="11"/>
      <c r="AG10" t="s">
        <v>37</v>
      </c>
      <c r="AH10" t="s">
        <v>37</v>
      </c>
      <c r="AI10" t="s">
        <v>46</v>
      </c>
      <c r="AJ10" s="2"/>
      <c r="AK10" s="2"/>
      <c r="AL10" s="2" t="s">
        <v>77</v>
      </c>
      <c r="AM10" s="2">
        <v>5.8999999999999999E-3</v>
      </c>
    </row>
    <row r="11" spans="1:39" ht="17">
      <c r="A11" s="3" t="s">
        <v>3</v>
      </c>
      <c r="B11" s="2" t="s">
        <v>4</v>
      </c>
      <c r="C11">
        <v>5</v>
      </c>
      <c r="D11" t="s">
        <v>59</v>
      </c>
      <c r="E11" t="s">
        <v>76</v>
      </c>
      <c r="H11" t="s">
        <v>69</v>
      </c>
      <c r="I11">
        <f>VLOOKUP(A11, $AG$11:$AH$18,2,FALSE)</f>
        <v>2.73</v>
      </c>
      <c r="J11">
        <f>$AK$5</f>
        <v>0.19</v>
      </c>
      <c r="K11" t="s">
        <v>59</v>
      </c>
      <c r="L11">
        <f>1-M11</f>
        <v>0</v>
      </c>
      <c r="M11">
        <f>IF(K11="yes", 1, 0.95)</f>
        <v>1</v>
      </c>
      <c r="N11">
        <f>$AH$4</f>
        <v>1.5714285714285714</v>
      </c>
      <c r="O11">
        <f>VLOOKUP(A11, $AG$11:$AI$18,3,FALSE)</f>
        <v>39.5</v>
      </c>
      <c r="P11">
        <f>VLOOKUP(E11,$AL$10:$AM$22,2,FALSE)</f>
        <v>7.0000000000000001E-3</v>
      </c>
      <c r="Q11">
        <f>IF(D11="yes", 1, 0)</f>
        <v>1</v>
      </c>
      <c r="S11">
        <f>$AK$3</f>
        <v>0.24</v>
      </c>
      <c r="T11">
        <f>$AK$4</f>
        <v>0.11</v>
      </c>
      <c r="U11">
        <f>$AH$5</f>
        <v>0.6784</v>
      </c>
      <c r="W11">
        <f>VLOOKUP(H11,$AG$23:$AH$30,2,FALSE)</f>
        <v>0.78</v>
      </c>
      <c r="X11">
        <f>I11*J11*L11*W11*U11</f>
        <v>0</v>
      </c>
      <c r="Y11">
        <f>$AG$33</f>
        <v>4.7000000000000002E-3</v>
      </c>
      <c r="Z11">
        <f>I11*J11*M11*Y11*U11</f>
        <v>1.6538645760000002E-3</v>
      </c>
      <c r="AA11">
        <f>C11*X11*365</f>
        <v>0</v>
      </c>
      <c r="AB11">
        <f>C11*Z11*365</f>
        <v>3.0183028512000001</v>
      </c>
      <c r="AC11">
        <f>(AA11+AB11)*10^-3</f>
        <v>3.0183028512000003E-3</v>
      </c>
      <c r="AG11" s="2" t="s">
        <v>3</v>
      </c>
      <c r="AH11" s="2">
        <v>2.73</v>
      </c>
      <c r="AI11" s="2">
        <v>39.5</v>
      </c>
      <c r="AJ11" s="2"/>
      <c r="AK11" s="2"/>
      <c r="AL11" s="2" t="s">
        <v>76</v>
      </c>
      <c r="AM11" s="2">
        <v>7.0000000000000001E-3</v>
      </c>
    </row>
    <row r="12" spans="1:39" ht="17">
      <c r="A12" s="3" t="s">
        <v>3</v>
      </c>
      <c r="B12" s="2" t="s">
        <v>5</v>
      </c>
      <c r="C12">
        <v>6</v>
      </c>
      <c r="D12" t="s">
        <v>60</v>
      </c>
      <c r="E12" t="s">
        <v>76</v>
      </c>
      <c r="H12" t="s">
        <v>69</v>
      </c>
      <c r="I12">
        <f>VLOOKUP(A12, $AG$11:$AH$18,2,FALSE)</f>
        <v>2.73</v>
      </c>
      <c r="J12">
        <f>$AK$5</f>
        <v>0.19</v>
      </c>
      <c r="K12" t="s">
        <v>59</v>
      </c>
      <c r="L12">
        <f>1-M12</f>
        <v>0</v>
      </c>
      <c r="M12">
        <f>IF(K12="yes", 1, 0.95)</f>
        <v>1</v>
      </c>
      <c r="N12">
        <f>$AH$4</f>
        <v>1.5714285714285714</v>
      </c>
      <c r="O12">
        <f>VLOOKUP(A12, $AG$11:$AI$18,3,FALSE)</f>
        <v>39.5</v>
      </c>
      <c r="P12">
        <f>VLOOKUP(E12,$AL$10:$AM$22,2,FALSE)</f>
        <v>7.0000000000000001E-3</v>
      </c>
      <c r="Q12">
        <f>IF(D12="yes", 1, 0)</f>
        <v>0</v>
      </c>
      <c r="S12">
        <f>$AK$3</f>
        <v>0.24</v>
      </c>
      <c r="T12">
        <f>$AK$4</f>
        <v>0.11</v>
      </c>
      <c r="U12">
        <f>$AH$5</f>
        <v>0.6784</v>
      </c>
      <c r="W12">
        <f>VLOOKUP(H12,$AG$23:$AH$30,2,FALSE)</f>
        <v>0.78</v>
      </c>
      <c r="X12">
        <f>I12*J12*L12*W12*U12</f>
        <v>0</v>
      </c>
      <c r="Y12">
        <f>$AG$33</f>
        <v>4.7000000000000002E-3</v>
      </c>
      <c r="Z12">
        <f>I12*J12*M12*Y12*U12</f>
        <v>1.6538645760000002E-3</v>
      </c>
      <c r="AA12">
        <f>C12*X12*365</f>
        <v>0</v>
      </c>
      <c r="AB12">
        <f>C12*Z12*365</f>
        <v>3.6219634214400007</v>
      </c>
      <c r="AC12">
        <f>(AA12+AB12)*10^-3</f>
        <v>3.6219634214400007E-3</v>
      </c>
      <c r="AG12" s="2" t="s">
        <v>25</v>
      </c>
      <c r="AH12" s="2">
        <v>0.34</v>
      </c>
      <c r="AI12" s="2">
        <v>7</v>
      </c>
      <c r="AJ12" s="2"/>
      <c r="AK12" s="2"/>
      <c r="AL12" s="2" t="s">
        <v>78</v>
      </c>
      <c r="AM12" s="2">
        <v>1.8E-3</v>
      </c>
    </row>
    <row r="13" spans="1:39" ht="17">
      <c r="A13" s="3" t="s">
        <v>3</v>
      </c>
      <c r="B13" s="2" t="s">
        <v>6</v>
      </c>
      <c r="C13">
        <v>7</v>
      </c>
      <c r="D13" t="s">
        <v>59</v>
      </c>
      <c r="E13" s="2" t="s">
        <v>77</v>
      </c>
      <c r="H13" t="s">
        <v>69</v>
      </c>
      <c r="I13">
        <f t="shared" ref="I13:I30" si="0">VLOOKUP(A13, $AG$11:$AH$18,2,FALSE)</f>
        <v>2.73</v>
      </c>
      <c r="J13">
        <f t="shared" ref="J13:J30" si="1">$AK$5</f>
        <v>0.19</v>
      </c>
      <c r="K13" t="s">
        <v>59</v>
      </c>
      <c r="L13">
        <f t="shared" ref="L13:L30" si="2">1-M13</f>
        <v>0</v>
      </c>
      <c r="M13">
        <f t="shared" ref="M13:M30" si="3">IF(K13="yes", 1, 0.95)</f>
        <v>1</v>
      </c>
      <c r="N13">
        <f t="shared" ref="N13:N30" si="4">$AH$4</f>
        <v>1.5714285714285714</v>
      </c>
      <c r="O13">
        <f t="shared" ref="O13:O30" si="5">VLOOKUP(A13, $AG$11:$AI$18,3,FALSE)</f>
        <v>39.5</v>
      </c>
      <c r="P13">
        <f t="shared" ref="P13:P30" si="6">VLOOKUP(E13,$AL$10:$AM$22,2,FALSE)</f>
        <v>5.8999999999999999E-3</v>
      </c>
      <c r="Q13">
        <f t="shared" ref="Q13:Q30" si="7">IF(D13="yes", 1, 0)</f>
        <v>1</v>
      </c>
      <c r="S13">
        <f t="shared" ref="S13:S30" si="8">$AK$3</f>
        <v>0.24</v>
      </c>
      <c r="T13">
        <f t="shared" ref="T13:T30" si="9">$AK$4</f>
        <v>0.11</v>
      </c>
      <c r="U13">
        <f t="shared" ref="U13:U30" si="10">$AH$5</f>
        <v>0.6784</v>
      </c>
      <c r="W13">
        <f t="shared" ref="W13:W30" si="11">VLOOKUP(H13,$AG$23:$AH$30,2,FALSE)</f>
        <v>0.78</v>
      </c>
      <c r="X13">
        <f t="shared" ref="X13:X30" si="12">I13*J13*L13*W13*U13</f>
        <v>0</v>
      </c>
      <c r="Y13">
        <f t="shared" ref="Y13:Y30" si="13">$AG$33</f>
        <v>4.7000000000000002E-3</v>
      </c>
      <c r="Z13">
        <f t="shared" ref="Z13:Z30" si="14">I13*J13*M13*Y13*U13</f>
        <v>1.6538645760000002E-3</v>
      </c>
      <c r="AA13">
        <f t="shared" ref="AA13:AA30" si="15">C13*X13*365</f>
        <v>0</v>
      </c>
      <c r="AB13">
        <f t="shared" ref="AB13:AB30" si="16">C13*Z13*365</f>
        <v>4.22562399168</v>
      </c>
      <c r="AC13">
        <f t="shared" ref="AC13:AC30" si="17">(AA13+AB13)*10^-3</f>
        <v>4.2256239916799998E-3</v>
      </c>
      <c r="AG13" s="2" t="s">
        <v>24</v>
      </c>
      <c r="AH13" s="2">
        <v>0.91</v>
      </c>
      <c r="AI13" s="2">
        <v>13.2</v>
      </c>
      <c r="AJ13" s="2"/>
      <c r="AK13" s="2"/>
      <c r="AL13" s="2" t="s">
        <v>79</v>
      </c>
      <c r="AM13" s="2">
        <v>2.8999999999999998E-3</v>
      </c>
    </row>
    <row r="14" spans="1:39" ht="17">
      <c r="A14" s="3" t="s">
        <v>3</v>
      </c>
      <c r="B14" s="2" t="s">
        <v>7</v>
      </c>
      <c r="C14">
        <v>8</v>
      </c>
      <c r="D14" t="s">
        <v>60</v>
      </c>
      <c r="E14" s="2" t="s">
        <v>76</v>
      </c>
      <c r="H14" t="s">
        <v>69</v>
      </c>
      <c r="I14">
        <f t="shared" si="0"/>
        <v>2.73</v>
      </c>
      <c r="J14">
        <f t="shared" si="1"/>
        <v>0.19</v>
      </c>
      <c r="K14" t="s">
        <v>59</v>
      </c>
      <c r="L14">
        <f t="shared" si="2"/>
        <v>0</v>
      </c>
      <c r="M14">
        <f t="shared" si="3"/>
        <v>1</v>
      </c>
      <c r="N14">
        <f t="shared" si="4"/>
        <v>1.5714285714285714</v>
      </c>
      <c r="O14">
        <f t="shared" si="5"/>
        <v>39.5</v>
      </c>
      <c r="P14">
        <f t="shared" si="6"/>
        <v>7.0000000000000001E-3</v>
      </c>
      <c r="Q14">
        <f t="shared" si="7"/>
        <v>0</v>
      </c>
      <c r="S14">
        <f t="shared" si="8"/>
        <v>0.24</v>
      </c>
      <c r="T14">
        <f t="shared" si="9"/>
        <v>0.11</v>
      </c>
      <c r="U14">
        <f t="shared" si="10"/>
        <v>0.6784</v>
      </c>
      <c r="W14">
        <f t="shared" si="11"/>
        <v>0.78</v>
      </c>
      <c r="X14">
        <f t="shared" si="12"/>
        <v>0</v>
      </c>
      <c r="Y14">
        <f t="shared" si="13"/>
        <v>4.7000000000000002E-3</v>
      </c>
      <c r="Z14">
        <f t="shared" si="14"/>
        <v>1.6538645760000002E-3</v>
      </c>
      <c r="AA14">
        <f t="shared" si="15"/>
        <v>0</v>
      </c>
      <c r="AB14">
        <f t="shared" si="16"/>
        <v>4.8292845619200007</v>
      </c>
      <c r="AC14">
        <f t="shared" si="17"/>
        <v>4.8292845619200006E-3</v>
      </c>
      <c r="AG14" s="2" t="s">
        <v>19</v>
      </c>
      <c r="AH14" s="2">
        <v>2.73</v>
      </c>
      <c r="AI14" s="2">
        <v>39.5</v>
      </c>
      <c r="AJ14" s="2"/>
      <c r="AK14" s="2"/>
      <c r="AL14" s="2" t="s">
        <v>80</v>
      </c>
      <c r="AM14" s="2">
        <v>8.0000000000000002E-3</v>
      </c>
    </row>
    <row r="15" spans="1:39" ht="17">
      <c r="A15" s="3" t="s">
        <v>25</v>
      </c>
      <c r="B15" s="2" t="s">
        <v>8</v>
      </c>
      <c r="C15">
        <v>9</v>
      </c>
      <c r="D15" t="s">
        <v>59</v>
      </c>
      <c r="E15" s="2" t="s">
        <v>78</v>
      </c>
      <c r="H15" t="s">
        <v>69</v>
      </c>
      <c r="I15">
        <f t="shared" si="0"/>
        <v>0.34</v>
      </c>
      <c r="J15">
        <f t="shared" si="1"/>
        <v>0.19</v>
      </c>
      <c r="K15" t="s">
        <v>59</v>
      </c>
      <c r="L15">
        <f t="shared" si="2"/>
        <v>0</v>
      </c>
      <c r="M15">
        <f t="shared" si="3"/>
        <v>1</v>
      </c>
      <c r="N15">
        <f t="shared" si="4"/>
        <v>1.5714285714285714</v>
      </c>
      <c r="O15">
        <f t="shared" si="5"/>
        <v>7</v>
      </c>
      <c r="P15">
        <f t="shared" si="6"/>
        <v>1.8E-3</v>
      </c>
      <c r="Q15">
        <f t="shared" si="7"/>
        <v>1</v>
      </c>
      <c r="S15">
        <f t="shared" si="8"/>
        <v>0.24</v>
      </c>
      <c r="T15">
        <f t="shared" si="9"/>
        <v>0.11</v>
      </c>
      <c r="U15">
        <f t="shared" si="10"/>
        <v>0.6784</v>
      </c>
      <c r="W15">
        <f t="shared" si="11"/>
        <v>0.78</v>
      </c>
      <c r="X15">
        <f t="shared" si="12"/>
        <v>0</v>
      </c>
      <c r="Y15">
        <f t="shared" si="13"/>
        <v>4.7000000000000002E-3</v>
      </c>
      <c r="Z15">
        <f t="shared" si="14"/>
        <v>2.0597580800000003E-4</v>
      </c>
      <c r="AA15">
        <f t="shared" si="15"/>
        <v>0</v>
      </c>
      <c r="AB15">
        <f t="shared" si="16"/>
        <v>0.67663052928000011</v>
      </c>
      <c r="AC15">
        <f t="shared" si="17"/>
        <v>6.7663052928000015E-4</v>
      </c>
      <c r="AG15" s="2" t="s">
        <v>20</v>
      </c>
      <c r="AH15" s="2">
        <v>0.34</v>
      </c>
      <c r="AI15" s="2">
        <v>7</v>
      </c>
      <c r="AJ15" s="2"/>
      <c r="AK15" s="2"/>
      <c r="AL15" s="2" t="s">
        <v>81</v>
      </c>
      <c r="AM15" s="2">
        <v>1.9900000000000001E-2</v>
      </c>
    </row>
    <row r="16" spans="1:39" ht="17">
      <c r="A16" s="3" t="s">
        <v>25</v>
      </c>
      <c r="B16" s="2" t="s">
        <v>9</v>
      </c>
      <c r="C16">
        <v>10</v>
      </c>
      <c r="D16" t="s">
        <v>60</v>
      </c>
      <c r="E16" s="2" t="s">
        <v>79</v>
      </c>
      <c r="H16" s="2" t="s">
        <v>28</v>
      </c>
      <c r="I16">
        <f t="shared" si="0"/>
        <v>0.34</v>
      </c>
      <c r="J16">
        <f t="shared" si="1"/>
        <v>0.19</v>
      </c>
      <c r="K16" t="s">
        <v>59</v>
      </c>
      <c r="L16">
        <f t="shared" si="2"/>
        <v>0</v>
      </c>
      <c r="M16">
        <f t="shared" si="3"/>
        <v>1</v>
      </c>
      <c r="N16">
        <f t="shared" si="4"/>
        <v>1.5714285714285714</v>
      </c>
      <c r="O16">
        <f t="shared" si="5"/>
        <v>7</v>
      </c>
      <c r="P16">
        <f t="shared" si="6"/>
        <v>2.8999999999999998E-3</v>
      </c>
      <c r="Q16">
        <f t="shared" si="7"/>
        <v>0</v>
      </c>
      <c r="S16">
        <f t="shared" si="8"/>
        <v>0.24</v>
      </c>
      <c r="T16">
        <f t="shared" si="9"/>
        <v>0.11</v>
      </c>
      <c r="U16">
        <f t="shared" si="10"/>
        <v>0.6784</v>
      </c>
      <c r="W16">
        <f t="shared" si="11"/>
        <v>0.71</v>
      </c>
      <c r="X16">
        <f t="shared" si="12"/>
        <v>0</v>
      </c>
      <c r="Y16">
        <f t="shared" si="13"/>
        <v>4.7000000000000002E-3</v>
      </c>
      <c r="Z16">
        <f t="shared" si="14"/>
        <v>2.0597580800000003E-4</v>
      </c>
      <c r="AA16">
        <f t="shared" si="15"/>
        <v>0</v>
      </c>
      <c r="AB16">
        <f t="shared" si="16"/>
        <v>0.75181169920000002</v>
      </c>
      <c r="AC16">
        <f t="shared" si="17"/>
        <v>7.518116992E-4</v>
      </c>
      <c r="AG16" s="2" t="s">
        <v>21</v>
      </c>
      <c r="AH16" s="2">
        <v>2.73</v>
      </c>
      <c r="AI16" s="2">
        <v>39.5</v>
      </c>
      <c r="AJ16" s="2"/>
      <c r="AK16" s="2"/>
      <c r="AL16" s="2" t="s">
        <v>82</v>
      </c>
      <c r="AM16" s="2">
        <v>5.3E-3</v>
      </c>
    </row>
    <row r="17" spans="1:39" ht="17">
      <c r="A17" s="3" t="s">
        <v>25</v>
      </c>
      <c r="B17" s="2" t="s">
        <v>10</v>
      </c>
      <c r="C17">
        <v>11</v>
      </c>
      <c r="D17" t="s">
        <v>59</v>
      </c>
      <c r="E17" s="2" t="s">
        <v>80</v>
      </c>
      <c r="H17" s="2" t="s">
        <v>67</v>
      </c>
      <c r="I17">
        <f t="shared" si="0"/>
        <v>0.34</v>
      </c>
      <c r="J17">
        <f t="shared" si="1"/>
        <v>0.19</v>
      </c>
      <c r="K17" t="s">
        <v>59</v>
      </c>
      <c r="L17">
        <f t="shared" si="2"/>
        <v>0</v>
      </c>
      <c r="M17">
        <f t="shared" si="3"/>
        <v>1</v>
      </c>
      <c r="N17">
        <f t="shared" si="4"/>
        <v>1.5714285714285714</v>
      </c>
      <c r="O17">
        <f t="shared" si="5"/>
        <v>7</v>
      </c>
      <c r="P17">
        <f t="shared" si="6"/>
        <v>8.0000000000000002E-3</v>
      </c>
      <c r="Q17">
        <f t="shared" si="7"/>
        <v>1</v>
      </c>
      <c r="S17">
        <f t="shared" si="8"/>
        <v>0.24</v>
      </c>
      <c r="T17">
        <f t="shared" si="9"/>
        <v>0.11</v>
      </c>
      <c r="U17">
        <f t="shared" si="10"/>
        <v>0.6784</v>
      </c>
      <c r="W17">
        <f t="shared" si="11"/>
        <v>0.75</v>
      </c>
      <c r="X17">
        <f t="shared" si="12"/>
        <v>0</v>
      </c>
      <c r="Y17">
        <f t="shared" si="13"/>
        <v>4.7000000000000002E-3</v>
      </c>
      <c r="Z17">
        <f t="shared" si="14"/>
        <v>2.0597580800000003E-4</v>
      </c>
      <c r="AA17">
        <f t="shared" si="15"/>
        <v>0</v>
      </c>
      <c r="AB17">
        <f t="shared" si="16"/>
        <v>0.82699286912000003</v>
      </c>
      <c r="AC17">
        <f t="shared" si="17"/>
        <v>8.2699286912000006E-4</v>
      </c>
      <c r="AG17" s="2" t="s">
        <v>22</v>
      </c>
      <c r="AH17" s="2">
        <v>0.91</v>
      </c>
      <c r="AI17" s="2">
        <v>13.2</v>
      </c>
      <c r="AJ17" s="2"/>
      <c r="AK17" s="2"/>
      <c r="AL17" s="2" t="s">
        <v>83</v>
      </c>
      <c r="AM17" s="2">
        <v>6.4000000000000003E-3</v>
      </c>
    </row>
    <row r="18" spans="1:39" ht="17">
      <c r="A18" s="3" t="s">
        <v>25</v>
      </c>
      <c r="B18" s="2" t="s">
        <v>11</v>
      </c>
      <c r="C18">
        <v>12</v>
      </c>
      <c r="D18" t="s">
        <v>60</v>
      </c>
      <c r="E18" s="2" t="s">
        <v>81</v>
      </c>
      <c r="H18" s="2" t="s">
        <v>68</v>
      </c>
      <c r="I18">
        <f t="shared" si="0"/>
        <v>0.34</v>
      </c>
      <c r="J18">
        <f t="shared" si="1"/>
        <v>0.19</v>
      </c>
      <c r="K18" t="s">
        <v>59</v>
      </c>
      <c r="L18">
        <f t="shared" si="2"/>
        <v>0</v>
      </c>
      <c r="M18">
        <f t="shared" si="3"/>
        <v>1</v>
      </c>
      <c r="N18">
        <f t="shared" si="4"/>
        <v>1.5714285714285714</v>
      </c>
      <c r="O18">
        <f t="shared" si="5"/>
        <v>7</v>
      </c>
      <c r="P18">
        <f t="shared" si="6"/>
        <v>1.9900000000000001E-2</v>
      </c>
      <c r="Q18">
        <f t="shared" si="7"/>
        <v>0</v>
      </c>
      <c r="S18">
        <f t="shared" si="8"/>
        <v>0.24</v>
      </c>
      <c r="T18">
        <f t="shared" si="9"/>
        <v>0.11</v>
      </c>
      <c r="U18">
        <f t="shared" si="10"/>
        <v>0.6784</v>
      </c>
      <c r="W18">
        <f t="shared" si="11"/>
        <v>0.8</v>
      </c>
      <c r="X18">
        <f t="shared" si="12"/>
        <v>0</v>
      </c>
      <c r="Y18">
        <f t="shared" si="13"/>
        <v>4.7000000000000002E-3</v>
      </c>
      <c r="Z18">
        <f t="shared" si="14"/>
        <v>2.0597580800000003E-4</v>
      </c>
      <c r="AA18">
        <f t="shared" si="15"/>
        <v>0</v>
      </c>
      <c r="AB18">
        <f t="shared" si="16"/>
        <v>0.90217403904000026</v>
      </c>
      <c r="AC18">
        <f t="shared" si="17"/>
        <v>9.0217403904000024E-4</v>
      </c>
      <c r="AG18" s="2" t="s">
        <v>66</v>
      </c>
      <c r="AH18" s="2">
        <v>0.34</v>
      </c>
      <c r="AI18" s="2">
        <v>7</v>
      </c>
      <c r="AJ18" s="2"/>
      <c r="AK18" s="10"/>
      <c r="AL18" s="2" t="s">
        <v>84</v>
      </c>
      <c r="AM18" s="2">
        <v>2.5999999999999999E-3</v>
      </c>
    </row>
    <row r="19" spans="1:39" ht="17">
      <c r="A19" s="3" t="s">
        <v>25</v>
      </c>
      <c r="B19" s="2" t="s">
        <v>12</v>
      </c>
      <c r="C19">
        <v>13</v>
      </c>
      <c r="D19" t="s">
        <v>59</v>
      </c>
      <c r="E19" s="2" t="s">
        <v>82</v>
      </c>
      <c r="H19" s="2" t="s">
        <v>69</v>
      </c>
      <c r="I19">
        <f t="shared" si="0"/>
        <v>0.34</v>
      </c>
      <c r="J19">
        <f t="shared" si="1"/>
        <v>0.19</v>
      </c>
      <c r="K19" t="s">
        <v>59</v>
      </c>
      <c r="L19">
        <f t="shared" si="2"/>
        <v>0</v>
      </c>
      <c r="M19">
        <f t="shared" si="3"/>
        <v>1</v>
      </c>
      <c r="N19">
        <f t="shared" si="4"/>
        <v>1.5714285714285714</v>
      </c>
      <c r="O19">
        <f t="shared" si="5"/>
        <v>7</v>
      </c>
      <c r="P19">
        <f t="shared" si="6"/>
        <v>5.3E-3</v>
      </c>
      <c r="Q19">
        <f t="shared" si="7"/>
        <v>1</v>
      </c>
      <c r="S19">
        <f t="shared" si="8"/>
        <v>0.24</v>
      </c>
      <c r="T19">
        <f t="shared" si="9"/>
        <v>0.11</v>
      </c>
      <c r="U19">
        <f t="shared" si="10"/>
        <v>0.6784</v>
      </c>
      <c r="W19">
        <f t="shared" si="11"/>
        <v>0.78</v>
      </c>
      <c r="X19">
        <f t="shared" si="12"/>
        <v>0</v>
      </c>
      <c r="Y19">
        <f t="shared" si="13"/>
        <v>4.7000000000000002E-3</v>
      </c>
      <c r="Z19">
        <f t="shared" si="14"/>
        <v>2.0597580800000003E-4</v>
      </c>
      <c r="AA19">
        <f t="shared" si="15"/>
        <v>0</v>
      </c>
      <c r="AB19">
        <f t="shared" si="16"/>
        <v>0.97735520896000017</v>
      </c>
      <c r="AC19">
        <f t="shared" si="17"/>
        <v>9.7735520896000019E-4</v>
      </c>
      <c r="AJ19" s="2"/>
      <c r="AK19" s="10"/>
      <c r="AL19" s="2" t="s">
        <v>85</v>
      </c>
      <c r="AM19" s="2">
        <v>3.0000000000000001E-3</v>
      </c>
    </row>
    <row r="20" spans="1:39" ht="17">
      <c r="A20" s="3" t="s">
        <v>25</v>
      </c>
      <c r="B20" s="2" t="s">
        <v>13</v>
      </c>
      <c r="C20">
        <v>14</v>
      </c>
      <c r="D20" t="s">
        <v>60</v>
      </c>
      <c r="E20" s="2" t="s">
        <v>83</v>
      </c>
      <c r="H20" s="2" t="s">
        <v>70</v>
      </c>
      <c r="I20">
        <f t="shared" si="0"/>
        <v>0.34</v>
      </c>
      <c r="J20">
        <f t="shared" si="1"/>
        <v>0.19</v>
      </c>
      <c r="K20" t="s">
        <v>59</v>
      </c>
      <c r="L20">
        <f t="shared" si="2"/>
        <v>0</v>
      </c>
      <c r="M20">
        <f t="shared" si="3"/>
        <v>1</v>
      </c>
      <c r="N20">
        <f t="shared" si="4"/>
        <v>1.5714285714285714</v>
      </c>
      <c r="O20">
        <f t="shared" si="5"/>
        <v>7</v>
      </c>
      <c r="P20">
        <f t="shared" si="6"/>
        <v>6.4000000000000003E-3</v>
      </c>
      <c r="Q20">
        <f t="shared" si="7"/>
        <v>0</v>
      </c>
      <c r="S20">
        <f t="shared" si="8"/>
        <v>0.24</v>
      </c>
      <c r="T20">
        <f t="shared" si="9"/>
        <v>0.11</v>
      </c>
      <c r="U20">
        <f t="shared" si="10"/>
        <v>0.6784</v>
      </c>
      <c r="W20">
        <f t="shared" si="11"/>
        <v>0.74</v>
      </c>
      <c r="X20">
        <f t="shared" si="12"/>
        <v>0</v>
      </c>
      <c r="Y20">
        <f t="shared" si="13"/>
        <v>4.7000000000000002E-3</v>
      </c>
      <c r="Z20">
        <f t="shared" si="14"/>
        <v>2.0597580800000003E-4</v>
      </c>
      <c r="AA20">
        <f t="shared" si="15"/>
        <v>0</v>
      </c>
      <c r="AB20">
        <f t="shared" si="16"/>
        <v>1.0525363788800002</v>
      </c>
      <c r="AC20">
        <f t="shared" si="17"/>
        <v>1.0525363788800003E-3</v>
      </c>
      <c r="AJ20" s="2"/>
      <c r="AK20" s="2"/>
      <c r="AL20" s="2" t="s">
        <v>86</v>
      </c>
      <c r="AM20" s="2">
        <v>5.0000000000000001E-3</v>
      </c>
    </row>
    <row r="21" spans="1:39" ht="17">
      <c r="A21" s="3" t="s">
        <v>25</v>
      </c>
      <c r="B21" s="2" t="s">
        <v>14</v>
      </c>
      <c r="C21">
        <v>15</v>
      </c>
      <c r="D21" t="s">
        <v>59</v>
      </c>
      <c r="E21" s="2" t="s">
        <v>84</v>
      </c>
      <c r="H21" s="2" t="s">
        <v>71</v>
      </c>
      <c r="I21">
        <f t="shared" si="0"/>
        <v>0.34</v>
      </c>
      <c r="J21">
        <f t="shared" si="1"/>
        <v>0.19</v>
      </c>
      <c r="K21" t="s">
        <v>59</v>
      </c>
      <c r="L21">
        <f t="shared" si="2"/>
        <v>0</v>
      </c>
      <c r="M21">
        <f t="shared" si="3"/>
        <v>1</v>
      </c>
      <c r="N21">
        <f t="shared" si="4"/>
        <v>1.5714285714285714</v>
      </c>
      <c r="O21">
        <f t="shared" si="5"/>
        <v>7</v>
      </c>
      <c r="P21">
        <f t="shared" si="6"/>
        <v>2.5999999999999999E-3</v>
      </c>
      <c r="Q21">
        <f t="shared" si="7"/>
        <v>1</v>
      </c>
      <c r="S21">
        <f t="shared" si="8"/>
        <v>0.24</v>
      </c>
      <c r="T21">
        <f t="shared" si="9"/>
        <v>0.11</v>
      </c>
      <c r="U21">
        <f t="shared" si="10"/>
        <v>0.6784</v>
      </c>
      <c r="W21">
        <f t="shared" si="11"/>
        <v>0.7</v>
      </c>
      <c r="X21">
        <f t="shared" si="12"/>
        <v>0</v>
      </c>
      <c r="Y21">
        <f t="shared" si="13"/>
        <v>4.7000000000000002E-3</v>
      </c>
      <c r="Z21">
        <f t="shared" si="14"/>
        <v>2.0597580800000003E-4</v>
      </c>
      <c r="AA21">
        <f t="shared" si="15"/>
        <v>0</v>
      </c>
      <c r="AB21">
        <f t="shared" si="16"/>
        <v>1.1277175488000002</v>
      </c>
      <c r="AC21">
        <f t="shared" si="17"/>
        <v>1.1277175488000003E-3</v>
      </c>
      <c r="AG21" s="2" t="s">
        <v>26</v>
      </c>
      <c r="AH21" t="s">
        <v>29</v>
      </c>
      <c r="AJ21" s="2"/>
      <c r="AK21" s="2"/>
      <c r="AL21" s="2" t="s">
        <v>84</v>
      </c>
      <c r="AM21" s="2">
        <v>2.5999999999999999E-3</v>
      </c>
    </row>
    <row r="22" spans="1:39" ht="17">
      <c r="A22" s="3" t="s">
        <v>24</v>
      </c>
      <c r="B22" s="2" t="s">
        <v>15</v>
      </c>
      <c r="C22">
        <v>16</v>
      </c>
      <c r="D22" t="s">
        <v>60</v>
      </c>
      <c r="E22" s="2" t="s">
        <v>85</v>
      </c>
      <c r="H22" s="2" t="s">
        <v>72</v>
      </c>
      <c r="I22">
        <f t="shared" si="0"/>
        <v>0.91</v>
      </c>
      <c r="J22">
        <f t="shared" si="1"/>
        <v>0.19</v>
      </c>
      <c r="K22" t="s">
        <v>59</v>
      </c>
      <c r="L22">
        <f t="shared" si="2"/>
        <v>0</v>
      </c>
      <c r="M22">
        <f t="shared" si="3"/>
        <v>1</v>
      </c>
      <c r="N22">
        <f t="shared" si="4"/>
        <v>1.5714285714285714</v>
      </c>
      <c r="O22">
        <f t="shared" si="5"/>
        <v>13.2</v>
      </c>
      <c r="P22">
        <f t="shared" si="6"/>
        <v>3.0000000000000001E-3</v>
      </c>
      <c r="Q22">
        <f t="shared" si="7"/>
        <v>0</v>
      </c>
      <c r="S22">
        <f t="shared" si="8"/>
        <v>0.24</v>
      </c>
      <c r="T22">
        <f t="shared" si="9"/>
        <v>0.11</v>
      </c>
      <c r="U22">
        <f t="shared" si="10"/>
        <v>0.6784</v>
      </c>
      <c r="W22">
        <f t="shared" si="11"/>
        <v>0.74</v>
      </c>
      <c r="X22">
        <f t="shared" si="12"/>
        <v>0</v>
      </c>
      <c r="Y22">
        <f t="shared" si="13"/>
        <v>4.7000000000000002E-3</v>
      </c>
      <c r="Z22">
        <f t="shared" si="14"/>
        <v>5.5128819200000003E-4</v>
      </c>
      <c r="AA22">
        <f t="shared" si="15"/>
        <v>0</v>
      </c>
      <c r="AB22">
        <f t="shared" si="16"/>
        <v>3.21952304128</v>
      </c>
      <c r="AC22">
        <f t="shared" si="17"/>
        <v>3.21952304128E-3</v>
      </c>
      <c r="AG22" s="2" t="s">
        <v>27</v>
      </c>
      <c r="AL22" s="2" t="s">
        <v>87</v>
      </c>
      <c r="AM22" s="2">
        <v>1.8E-3</v>
      </c>
    </row>
    <row r="23" spans="1:39" ht="17">
      <c r="A23" s="3" t="s">
        <v>24</v>
      </c>
      <c r="B23" s="2" t="s">
        <v>16</v>
      </c>
      <c r="C23">
        <v>17</v>
      </c>
      <c r="D23" t="s">
        <v>59</v>
      </c>
      <c r="E23" s="2" t="s">
        <v>86</v>
      </c>
      <c r="H23" s="2" t="s">
        <v>73</v>
      </c>
      <c r="I23">
        <f t="shared" si="0"/>
        <v>0.91</v>
      </c>
      <c r="J23">
        <f t="shared" si="1"/>
        <v>0.19</v>
      </c>
      <c r="K23" t="s">
        <v>59</v>
      </c>
      <c r="L23">
        <f t="shared" si="2"/>
        <v>0</v>
      </c>
      <c r="M23">
        <f t="shared" si="3"/>
        <v>1</v>
      </c>
      <c r="N23">
        <f t="shared" si="4"/>
        <v>1.5714285714285714</v>
      </c>
      <c r="O23">
        <f t="shared" si="5"/>
        <v>13.2</v>
      </c>
      <c r="P23">
        <f t="shared" si="6"/>
        <v>5.0000000000000001E-3</v>
      </c>
      <c r="Q23">
        <f t="shared" si="7"/>
        <v>1</v>
      </c>
      <c r="S23">
        <f t="shared" si="8"/>
        <v>0.24</v>
      </c>
      <c r="T23">
        <f t="shared" si="9"/>
        <v>0.11</v>
      </c>
      <c r="U23">
        <f t="shared" si="10"/>
        <v>0.6784</v>
      </c>
      <c r="W23">
        <f t="shared" si="11"/>
        <v>0.76</v>
      </c>
      <c r="X23">
        <f t="shared" si="12"/>
        <v>0</v>
      </c>
      <c r="Y23">
        <f t="shared" si="13"/>
        <v>4.7000000000000002E-3</v>
      </c>
      <c r="Z23">
        <f t="shared" si="14"/>
        <v>5.5128819200000003E-4</v>
      </c>
      <c r="AA23">
        <f t="shared" si="15"/>
        <v>0</v>
      </c>
      <c r="AB23">
        <f t="shared" si="16"/>
        <v>3.4207432313599999</v>
      </c>
      <c r="AC23">
        <f t="shared" si="17"/>
        <v>3.4207432313600001E-3</v>
      </c>
      <c r="AG23" s="2" t="s">
        <v>28</v>
      </c>
      <c r="AH23" s="2">
        <v>0.71</v>
      </c>
      <c r="AJ23" s="2"/>
    </row>
    <row r="24" spans="1:39" ht="17">
      <c r="A24" s="3" t="s">
        <v>24</v>
      </c>
      <c r="B24" s="2" t="s">
        <v>17</v>
      </c>
      <c r="C24">
        <v>18</v>
      </c>
      <c r="D24" t="s">
        <v>60</v>
      </c>
      <c r="E24" s="2" t="s">
        <v>84</v>
      </c>
      <c r="H24" s="2" t="s">
        <v>28</v>
      </c>
      <c r="I24">
        <f t="shared" si="0"/>
        <v>0.91</v>
      </c>
      <c r="J24">
        <f t="shared" si="1"/>
        <v>0.19</v>
      </c>
      <c r="K24" t="s">
        <v>60</v>
      </c>
      <c r="L24">
        <f t="shared" si="2"/>
        <v>5.0000000000000044E-2</v>
      </c>
      <c r="M24">
        <f t="shared" si="3"/>
        <v>0.95</v>
      </c>
      <c r="N24">
        <f t="shared" si="4"/>
        <v>1.5714285714285714</v>
      </c>
      <c r="O24">
        <f t="shared" si="5"/>
        <v>13.2</v>
      </c>
      <c r="P24">
        <f t="shared" si="6"/>
        <v>2.5999999999999999E-3</v>
      </c>
      <c r="Q24">
        <f t="shared" si="7"/>
        <v>0</v>
      </c>
      <c r="S24">
        <f t="shared" si="8"/>
        <v>0.24</v>
      </c>
      <c r="T24">
        <f t="shared" si="9"/>
        <v>0.11</v>
      </c>
      <c r="U24">
        <f t="shared" si="10"/>
        <v>0.6784</v>
      </c>
      <c r="W24">
        <f t="shared" si="11"/>
        <v>0.71</v>
      </c>
      <c r="X24">
        <f t="shared" si="12"/>
        <v>4.1639852800000035E-3</v>
      </c>
      <c r="Y24">
        <f t="shared" si="13"/>
        <v>4.7000000000000002E-3</v>
      </c>
      <c r="Z24">
        <f t="shared" si="14"/>
        <v>5.2372378239999996E-4</v>
      </c>
      <c r="AA24">
        <f t="shared" si="15"/>
        <v>27.357383289600023</v>
      </c>
      <c r="AB24">
        <f t="shared" si="16"/>
        <v>3.4408652503679997</v>
      </c>
      <c r="AC24">
        <f t="shared" si="17"/>
        <v>3.0798248539968022E-2</v>
      </c>
      <c r="AG24" s="2" t="s">
        <v>67</v>
      </c>
      <c r="AH24" s="2">
        <v>0.75</v>
      </c>
      <c r="AJ24" s="2"/>
      <c r="AK24" s="2"/>
    </row>
    <row r="25" spans="1:39" ht="17">
      <c r="A25" s="3" t="s">
        <v>24</v>
      </c>
      <c r="B25" s="2" t="s">
        <v>18</v>
      </c>
      <c r="C25">
        <v>19</v>
      </c>
      <c r="D25" t="s">
        <v>59</v>
      </c>
      <c r="E25" s="2" t="s">
        <v>87</v>
      </c>
      <c r="H25" s="2" t="s">
        <v>67</v>
      </c>
      <c r="I25">
        <f t="shared" si="0"/>
        <v>0.91</v>
      </c>
      <c r="J25">
        <f t="shared" si="1"/>
        <v>0.19</v>
      </c>
      <c r="K25" t="s">
        <v>60</v>
      </c>
      <c r="L25">
        <f t="shared" si="2"/>
        <v>5.0000000000000044E-2</v>
      </c>
      <c r="M25">
        <f t="shared" si="3"/>
        <v>0.95</v>
      </c>
      <c r="N25">
        <f t="shared" si="4"/>
        <v>1.5714285714285714</v>
      </c>
      <c r="O25">
        <f t="shared" si="5"/>
        <v>13.2</v>
      </c>
      <c r="P25">
        <f t="shared" si="6"/>
        <v>1.8E-3</v>
      </c>
      <c r="Q25">
        <f t="shared" si="7"/>
        <v>1</v>
      </c>
      <c r="S25">
        <f t="shared" si="8"/>
        <v>0.24</v>
      </c>
      <c r="T25">
        <f t="shared" si="9"/>
        <v>0.11</v>
      </c>
      <c r="U25">
        <f t="shared" si="10"/>
        <v>0.6784</v>
      </c>
      <c r="W25">
        <f t="shared" si="11"/>
        <v>0.75</v>
      </c>
      <c r="X25">
        <f t="shared" si="12"/>
        <v>4.3985760000000039E-3</v>
      </c>
      <c r="Y25">
        <f t="shared" si="13"/>
        <v>4.7000000000000002E-3</v>
      </c>
      <c r="Z25">
        <f t="shared" si="14"/>
        <v>5.2372378239999996E-4</v>
      </c>
      <c r="AA25">
        <f t="shared" si="15"/>
        <v>30.504124560000029</v>
      </c>
      <c r="AB25">
        <f t="shared" si="16"/>
        <v>3.6320244309439995</v>
      </c>
      <c r="AC25">
        <f t="shared" si="17"/>
        <v>3.4136148990944033E-2</v>
      </c>
      <c r="AG25" s="2" t="s">
        <v>68</v>
      </c>
      <c r="AH25" s="2">
        <v>0.8</v>
      </c>
      <c r="AJ25" s="2"/>
      <c r="AK25" s="2"/>
    </row>
    <row r="26" spans="1:39">
      <c r="A26" s="2" t="s">
        <v>19</v>
      </c>
      <c r="B26" s="2" t="s">
        <v>19</v>
      </c>
      <c r="C26">
        <v>20</v>
      </c>
      <c r="D26" t="s">
        <v>60</v>
      </c>
      <c r="E26" s="2" t="s">
        <v>77</v>
      </c>
      <c r="H26" s="2" t="s">
        <v>68</v>
      </c>
      <c r="I26">
        <f t="shared" si="0"/>
        <v>2.73</v>
      </c>
      <c r="J26">
        <f t="shared" si="1"/>
        <v>0.19</v>
      </c>
      <c r="K26" t="s">
        <v>60</v>
      </c>
      <c r="L26">
        <f t="shared" si="2"/>
        <v>5.0000000000000044E-2</v>
      </c>
      <c r="M26">
        <f t="shared" si="3"/>
        <v>0.95</v>
      </c>
      <c r="N26">
        <f t="shared" si="4"/>
        <v>1.5714285714285714</v>
      </c>
      <c r="O26">
        <f t="shared" si="5"/>
        <v>39.5</v>
      </c>
      <c r="P26">
        <f t="shared" si="6"/>
        <v>5.8999999999999999E-3</v>
      </c>
      <c r="Q26">
        <f t="shared" si="7"/>
        <v>0</v>
      </c>
      <c r="S26">
        <f t="shared" si="8"/>
        <v>0.24</v>
      </c>
      <c r="T26">
        <f t="shared" si="9"/>
        <v>0.11</v>
      </c>
      <c r="U26">
        <f t="shared" si="10"/>
        <v>0.6784</v>
      </c>
      <c r="W26">
        <f t="shared" si="11"/>
        <v>0.8</v>
      </c>
      <c r="X26">
        <f t="shared" si="12"/>
        <v>1.4075443200000013E-2</v>
      </c>
      <c r="Y26">
        <f t="shared" si="13"/>
        <v>4.7000000000000002E-3</v>
      </c>
      <c r="Z26">
        <f t="shared" si="14"/>
        <v>1.5711713472E-3</v>
      </c>
      <c r="AA26">
        <f t="shared" si="15"/>
        <v>102.75073536000009</v>
      </c>
      <c r="AB26">
        <f t="shared" si="16"/>
        <v>11.46955083456</v>
      </c>
      <c r="AC26">
        <f t="shared" si="17"/>
        <v>0.11422028619456009</v>
      </c>
      <c r="AG26" s="2" t="s">
        <v>69</v>
      </c>
      <c r="AH26" s="2">
        <v>0.78</v>
      </c>
      <c r="AJ26" s="2"/>
      <c r="AK26" s="2"/>
    </row>
    <row r="27" spans="1:39">
      <c r="A27" s="2" t="s">
        <v>20</v>
      </c>
      <c r="B27" s="2" t="s">
        <v>20</v>
      </c>
      <c r="C27">
        <v>21</v>
      </c>
      <c r="D27" t="s">
        <v>59</v>
      </c>
      <c r="E27" s="2" t="s">
        <v>76</v>
      </c>
      <c r="H27" s="2" t="s">
        <v>69</v>
      </c>
      <c r="I27">
        <f t="shared" si="0"/>
        <v>0.34</v>
      </c>
      <c r="J27">
        <f t="shared" si="1"/>
        <v>0.19</v>
      </c>
      <c r="K27" t="s">
        <v>60</v>
      </c>
      <c r="L27">
        <f t="shared" si="2"/>
        <v>5.0000000000000044E-2</v>
      </c>
      <c r="M27">
        <f t="shared" si="3"/>
        <v>0.95</v>
      </c>
      <c r="N27">
        <f t="shared" si="4"/>
        <v>1.5714285714285714</v>
      </c>
      <c r="O27">
        <f t="shared" si="5"/>
        <v>7</v>
      </c>
      <c r="P27">
        <f t="shared" si="6"/>
        <v>7.0000000000000001E-3</v>
      </c>
      <c r="Q27">
        <f t="shared" si="7"/>
        <v>1</v>
      </c>
      <c r="S27">
        <f t="shared" si="8"/>
        <v>0.24</v>
      </c>
      <c r="T27">
        <f t="shared" si="9"/>
        <v>0.11</v>
      </c>
      <c r="U27">
        <f t="shared" si="10"/>
        <v>0.6784</v>
      </c>
      <c r="W27">
        <f t="shared" si="11"/>
        <v>0.78</v>
      </c>
      <c r="X27">
        <f t="shared" si="12"/>
        <v>1.709160960000002E-3</v>
      </c>
      <c r="Y27">
        <f t="shared" si="13"/>
        <v>4.7000000000000002E-3</v>
      </c>
      <c r="Z27">
        <f t="shared" si="14"/>
        <v>1.9567701760000002E-4</v>
      </c>
      <c r="AA27">
        <f t="shared" si="15"/>
        <v>13.100718758400015</v>
      </c>
      <c r="AB27">
        <f t="shared" si="16"/>
        <v>1.4998643399039999</v>
      </c>
      <c r="AC27">
        <f t="shared" si="17"/>
        <v>1.4600583098304016E-2</v>
      </c>
      <c r="AG27" s="2" t="s">
        <v>70</v>
      </c>
      <c r="AH27" s="2">
        <v>0.74</v>
      </c>
      <c r="AJ27" s="2"/>
      <c r="AK27" s="2"/>
    </row>
    <row r="28" spans="1:39">
      <c r="A28" s="2" t="s">
        <v>21</v>
      </c>
      <c r="B28" s="2" t="s">
        <v>21</v>
      </c>
      <c r="C28">
        <v>22</v>
      </c>
      <c r="D28" t="s">
        <v>60</v>
      </c>
      <c r="E28" s="2" t="s">
        <v>78</v>
      </c>
      <c r="H28" s="2" t="s">
        <v>70</v>
      </c>
      <c r="I28">
        <f t="shared" si="0"/>
        <v>2.73</v>
      </c>
      <c r="J28">
        <f t="shared" si="1"/>
        <v>0.19</v>
      </c>
      <c r="K28" t="s">
        <v>60</v>
      </c>
      <c r="L28">
        <f t="shared" si="2"/>
        <v>5.0000000000000044E-2</v>
      </c>
      <c r="M28">
        <f t="shared" si="3"/>
        <v>0.95</v>
      </c>
      <c r="N28">
        <f t="shared" si="4"/>
        <v>1.5714285714285714</v>
      </c>
      <c r="O28">
        <f t="shared" si="5"/>
        <v>39.5</v>
      </c>
      <c r="P28">
        <f t="shared" si="6"/>
        <v>1.8E-3</v>
      </c>
      <c r="Q28">
        <f t="shared" si="7"/>
        <v>0</v>
      </c>
      <c r="S28">
        <f t="shared" si="8"/>
        <v>0.24</v>
      </c>
      <c r="T28">
        <f t="shared" si="9"/>
        <v>0.11</v>
      </c>
      <c r="U28">
        <f t="shared" si="10"/>
        <v>0.6784</v>
      </c>
      <c r="W28">
        <f t="shared" si="11"/>
        <v>0.74</v>
      </c>
      <c r="X28">
        <f t="shared" si="12"/>
        <v>1.3019784960000013E-2</v>
      </c>
      <c r="Y28">
        <f t="shared" si="13"/>
        <v>4.7000000000000002E-3</v>
      </c>
      <c r="Z28">
        <f t="shared" si="14"/>
        <v>1.5711713472E-3</v>
      </c>
      <c r="AA28">
        <f t="shared" si="15"/>
        <v>104.5488732288001</v>
      </c>
      <c r="AB28">
        <f t="shared" si="16"/>
        <v>12.616505918016001</v>
      </c>
      <c r="AC28">
        <f t="shared" si="17"/>
        <v>0.11716537914681611</v>
      </c>
      <c r="AG28" s="2" t="s">
        <v>71</v>
      </c>
      <c r="AH28" s="2">
        <v>0.7</v>
      </c>
      <c r="AJ28" s="2"/>
      <c r="AK28" s="2"/>
    </row>
    <row r="29" spans="1:39">
      <c r="A29" s="2" t="s">
        <v>22</v>
      </c>
      <c r="B29" s="2" t="s">
        <v>22</v>
      </c>
      <c r="C29">
        <v>23</v>
      </c>
      <c r="D29" t="s">
        <v>59</v>
      </c>
      <c r="E29" s="2" t="s">
        <v>79</v>
      </c>
      <c r="H29" s="2" t="s">
        <v>71</v>
      </c>
      <c r="I29">
        <f t="shared" si="0"/>
        <v>0.91</v>
      </c>
      <c r="J29">
        <f t="shared" si="1"/>
        <v>0.19</v>
      </c>
      <c r="K29" t="s">
        <v>60</v>
      </c>
      <c r="L29">
        <f t="shared" si="2"/>
        <v>5.0000000000000044E-2</v>
      </c>
      <c r="M29">
        <f t="shared" si="3"/>
        <v>0.95</v>
      </c>
      <c r="N29">
        <f t="shared" si="4"/>
        <v>1.5714285714285714</v>
      </c>
      <c r="O29">
        <f t="shared" si="5"/>
        <v>13.2</v>
      </c>
      <c r="P29">
        <f t="shared" si="6"/>
        <v>2.8999999999999998E-3</v>
      </c>
      <c r="Q29">
        <f t="shared" si="7"/>
        <v>1</v>
      </c>
      <c r="S29">
        <f t="shared" si="8"/>
        <v>0.24</v>
      </c>
      <c r="T29">
        <f t="shared" si="9"/>
        <v>0.11</v>
      </c>
      <c r="U29">
        <f t="shared" si="10"/>
        <v>0.6784</v>
      </c>
      <c r="W29">
        <f t="shared" si="11"/>
        <v>0.7</v>
      </c>
      <c r="X29">
        <f t="shared" si="12"/>
        <v>4.1053376000000034E-3</v>
      </c>
      <c r="Y29">
        <f t="shared" si="13"/>
        <v>4.7000000000000002E-3</v>
      </c>
      <c r="Z29">
        <f t="shared" si="14"/>
        <v>5.2372378239999996E-4</v>
      </c>
      <c r="AA29">
        <f t="shared" si="15"/>
        <v>34.464309152000027</v>
      </c>
      <c r="AB29">
        <f t="shared" si="16"/>
        <v>4.396661153248</v>
      </c>
      <c r="AC29">
        <f t="shared" si="17"/>
        <v>3.8860970305248023E-2</v>
      </c>
      <c r="AG29" s="2" t="s">
        <v>72</v>
      </c>
      <c r="AH29" s="2">
        <v>0.74</v>
      </c>
      <c r="AJ29" s="2"/>
      <c r="AK29" s="2"/>
    </row>
    <row r="30" spans="1:39">
      <c r="A30" s="2" t="s">
        <v>66</v>
      </c>
      <c r="B30" s="2" t="s">
        <v>23</v>
      </c>
      <c r="C30">
        <v>24</v>
      </c>
      <c r="D30" t="s">
        <v>60</v>
      </c>
      <c r="E30" s="2" t="s">
        <v>80</v>
      </c>
      <c r="H30" s="2" t="s">
        <v>72</v>
      </c>
      <c r="I30">
        <f t="shared" si="0"/>
        <v>0.34</v>
      </c>
      <c r="J30">
        <f t="shared" si="1"/>
        <v>0.19</v>
      </c>
      <c r="K30" t="s">
        <v>60</v>
      </c>
      <c r="L30">
        <f t="shared" si="2"/>
        <v>5.0000000000000044E-2</v>
      </c>
      <c r="M30">
        <f t="shared" si="3"/>
        <v>0.95</v>
      </c>
      <c r="N30">
        <f t="shared" si="4"/>
        <v>1.5714285714285714</v>
      </c>
      <c r="O30">
        <f t="shared" si="5"/>
        <v>7</v>
      </c>
      <c r="P30">
        <f t="shared" si="6"/>
        <v>8.0000000000000002E-3</v>
      </c>
      <c r="Q30">
        <f t="shared" si="7"/>
        <v>0</v>
      </c>
      <c r="S30">
        <f t="shared" si="8"/>
        <v>0.24</v>
      </c>
      <c r="T30">
        <f t="shared" si="9"/>
        <v>0.11</v>
      </c>
      <c r="U30">
        <f t="shared" si="10"/>
        <v>0.6784</v>
      </c>
      <c r="W30">
        <f t="shared" si="11"/>
        <v>0.74</v>
      </c>
      <c r="X30">
        <f t="shared" si="12"/>
        <v>1.6215116800000018E-3</v>
      </c>
      <c r="Y30">
        <f t="shared" si="13"/>
        <v>4.7000000000000002E-3</v>
      </c>
      <c r="Z30">
        <f t="shared" si="14"/>
        <v>1.9567701760000002E-4</v>
      </c>
      <c r="AA30">
        <f t="shared" si="15"/>
        <v>14.204442316800016</v>
      </c>
      <c r="AB30">
        <f t="shared" si="16"/>
        <v>1.7141306741760001</v>
      </c>
      <c r="AC30">
        <f t="shared" si="17"/>
        <v>1.5918572990976015E-2</v>
      </c>
      <c r="AG30" s="2" t="s">
        <v>73</v>
      </c>
      <c r="AH30" s="2">
        <v>0.76</v>
      </c>
      <c r="AJ30" s="2"/>
      <c r="AK30" s="2"/>
    </row>
    <row r="31" spans="1:39">
      <c r="E31" s="2"/>
      <c r="H31" s="2"/>
    </row>
    <row r="32" spans="1:39">
      <c r="E32" s="2"/>
      <c r="AG32" s="2" t="s">
        <v>30</v>
      </c>
    </row>
    <row r="33" spans="5:34">
      <c r="E33" s="2"/>
      <c r="AG33">
        <v>4.7000000000000002E-3</v>
      </c>
    </row>
    <row r="34" spans="5:34">
      <c r="E34" s="2"/>
    </row>
    <row r="35" spans="5:34">
      <c r="E35" s="2"/>
      <c r="AG35" t="s">
        <v>31</v>
      </c>
    </row>
    <row r="36" spans="5:34">
      <c r="E36" s="2"/>
      <c r="AG36" t="s">
        <v>32</v>
      </c>
    </row>
    <row r="37" spans="5:34">
      <c r="E37" s="2"/>
      <c r="AG37" t="s">
        <v>33</v>
      </c>
      <c r="AH37">
        <v>0.66</v>
      </c>
    </row>
    <row r="38" spans="5:34">
      <c r="E38" s="2"/>
      <c r="AG38">
        <v>11</v>
      </c>
      <c r="AH38">
        <v>0.68</v>
      </c>
    </row>
    <row r="39" spans="5:34">
      <c r="AG39">
        <v>12</v>
      </c>
      <c r="AH39">
        <v>0.7</v>
      </c>
    </row>
    <row r="40" spans="5:34">
      <c r="AG40">
        <v>13</v>
      </c>
      <c r="AH40">
        <v>0.71</v>
      </c>
    </row>
    <row r="41" spans="5:34">
      <c r="AG41">
        <v>14</v>
      </c>
      <c r="AH41">
        <v>0.73</v>
      </c>
    </row>
    <row r="42" spans="5:34">
      <c r="AG42">
        <v>15</v>
      </c>
      <c r="AH42">
        <v>0.74</v>
      </c>
    </row>
    <row r="43" spans="5:34">
      <c r="AG43">
        <v>16</v>
      </c>
      <c r="AH43">
        <v>0.75</v>
      </c>
    </row>
    <row r="44" spans="5:34">
      <c r="AG44">
        <v>17</v>
      </c>
      <c r="AH44">
        <v>0.76</v>
      </c>
    </row>
    <row r="45" spans="5:34">
      <c r="AG45">
        <v>18</v>
      </c>
      <c r="AH45">
        <v>0.77</v>
      </c>
    </row>
    <row r="46" spans="5:34">
      <c r="AG46">
        <v>19</v>
      </c>
      <c r="AH46">
        <v>0.77</v>
      </c>
    </row>
    <row r="47" spans="5:34">
      <c r="AG47">
        <v>20</v>
      </c>
      <c r="AH47">
        <v>0.78</v>
      </c>
    </row>
    <row r="48" spans="5:34">
      <c r="AG48">
        <v>21</v>
      </c>
      <c r="AH48">
        <v>0.78</v>
      </c>
    </row>
    <row r="49" spans="33:34">
      <c r="AG49">
        <v>22</v>
      </c>
      <c r="AH49">
        <v>0.78</v>
      </c>
    </row>
    <row r="50" spans="33:34">
      <c r="AG50">
        <v>23</v>
      </c>
      <c r="AH50">
        <v>0.79</v>
      </c>
    </row>
    <row r="51" spans="33:34">
      <c r="AG51">
        <v>24</v>
      </c>
      <c r="AH51">
        <v>0.79</v>
      </c>
    </row>
    <row r="52" spans="33:34">
      <c r="AG52">
        <v>25</v>
      </c>
      <c r="AH52">
        <v>0.79</v>
      </c>
    </row>
    <row r="53" spans="33:34">
      <c r="AG53">
        <v>26</v>
      </c>
      <c r="AH53">
        <v>0.79</v>
      </c>
    </row>
    <row r="54" spans="33:34">
      <c r="AG54">
        <v>27</v>
      </c>
      <c r="AH54">
        <v>0.8</v>
      </c>
    </row>
    <row r="55" spans="33:34">
      <c r="AG55" t="s">
        <v>34</v>
      </c>
      <c r="AH55">
        <v>0.8</v>
      </c>
    </row>
  </sheetData>
  <mergeCells count="1">
    <mergeCell ref="AK18:AK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4.7.1.1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Eddie Sholl</dc:creator>
  <cp:lastModifiedBy>Eddie Sholl</cp:lastModifiedBy>
  <dcterms:created xsi:type="dcterms:W3CDTF">2026-02-18T00:55:42Z</dcterms:created>
  <dcterms:modified xsi:type="dcterms:W3CDTF">2026-04-27T06:16:09Z</dcterms:modified>
</cp:coreProperties>
</file>