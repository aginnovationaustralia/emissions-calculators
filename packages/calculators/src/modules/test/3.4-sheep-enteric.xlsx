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"/>
    </mc:Choice>
  </mc:AlternateContent>
  <xr:revisionPtr revIDLastSave="0" documentId="13_ncr:20001_{7D182355-8DF9-5648-A887-8B96E1FF671F}" xr6:coauthVersionLast="47" xr6:coauthVersionMax="47" xr10:uidLastSave="{00000000-0000-0000-0000-000000000000}"/>
  <bookViews>
    <workbookView xWindow="4080" yWindow="1600" windowWidth="30240" windowHeight="18980" xr2:uid="{00000000-000D-0000-FFFF-FFFF00000000}"/>
  </bookViews>
  <sheets>
    <sheet name="3.4.1.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11" i="1"/>
  <c r="M34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32" i="1"/>
  <c r="L33" i="1"/>
  <c r="L34" i="1"/>
  <c r="L31" i="1"/>
  <c r="L28" i="1"/>
  <c r="L29" i="1"/>
  <c r="L30" i="1"/>
  <c r="L27" i="1"/>
  <c r="L24" i="1"/>
  <c r="L25" i="1"/>
  <c r="L26" i="1"/>
  <c r="L23" i="1"/>
  <c r="L20" i="1"/>
  <c r="L21" i="1"/>
  <c r="L22" i="1"/>
  <c r="L19" i="1"/>
  <c r="L16" i="1"/>
  <c r="L17" i="1"/>
  <c r="L18" i="1"/>
  <c r="L15" i="1"/>
  <c r="L12" i="1"/>
  <c r="L13" i="1"/>
  <c r="L14" i="1"/>
  <c r="L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J34" i="1"/>
  <c r="J33" i="1"/>
  <c r="J32" i="1"/>
  <c r="J30" i="1"/>
  <c r="J29" i="1"/>
  <c r="J28" i="1"/>
  <c r="J26" i="1"/>
  <c r="J25" i="1"/>
  <c r="J24" i="1"/>
  <c r="J23" i="1"/>
  <c r="J22" i="1"/>
  <c r="J21" i="1"/>
  <c r="J20" i="1"/>
  <c r="J18" i="1"/>
  <c r="J17" i="1"/>
  <c r="J16" i="1"/>
  <c r="J14" i="1"/>
  <c r="J13" i="1"/>
  <c r="J12" i="1"/>
  <c r="J31" i="1"/>
  <c r="J27" i="1"/>
  <c r="J19" i="1"/>
  <c r="J15" i="1"/>
  <c r="J11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H23" i="1"/>
  <c r="H19" i="1"/>
  <c r="G23" i="1"/>
  <c r="G19" i="1"/>
  <c r="O11" i="1" l="1"/>
  <c r="K11" i="1"/>
  <c r="M11" i="1" s="1"/>
  <c r="P11" i="1" s="1"/>
  <c r="R11" i="1" s="1"/>
</calcChain>
</file>

<file path=xl/sharedStrings.xml><?xml version="1.0" encoding="utf-8"?>
<sst xmlns="http://schemas.openxmlformats.org/spreadsheetml/2006/main" count="231" uniqueCount="95">
  <si>
    <t>(LRjk=3,4 * min( LMRjk=3,4  100)) / 100</t>
  </si>
  <si>
    <t>(0.795 * DMDjk) - 0.0014</t>
  </si>
  <si>
    <t>(104.7 * qmjk + 0.307 * Wjk- 15) * Wjk * 10^-3</t>
  </si>
  <si>
    <t>1 - e ^ -2( DMAjk ) ^ 2</t>
  </si>
  <si>
    <t>(LEjk=3,4 * FAk=3,4) + (1 - LEjk=3,4)</t>
  </si>
  <si>
    <t>PIjk * RIjk * MAjk=3,4</t>
  </si>
  <si>
    <t>(Ijk * 0.0188) + 0.00158</t>
  </si>
  <si>
    <t>SUM SUM (Njk * Mijk * Dj) * 10^-3</t>
  </si>
  <si>
    <t>342</t>
  </si>
  <si>
    <t>344</t>
  </si>
  <si>
    <t>321</t>
  </si>
  <si>
    <t>351</t>
  </si>
  <si>
    <t>349</t>
  </si>
  <si>
    <t>348</t>
  </si>
  <si>
    <t>302</t>
  </si>
  <si>
    <t>347</t>
  </si>
  <si>
    <t>296</t>
  </si>
  <si>
    <t>308</t>
  </si>
  <si>
    <t>314</t>
  </si>
  <si>
    <t>291</t>
  </si>
  <si>
    <t>341</t>
  </si>
  <si>
    <t>288</t>
  </si>
  <si>
    <t>346</t>
  </si>
  <si>
    <t>281</t>
  </si>
  <si>
    <t>input</t>
  </si>
  <si>
    <t>expression</t>
  </si>
  <si>
    <t>constant</t>
  </si>
  <si>
    <t/>
  </si>
  <si>
    <t>percent</t>
  </si>
  <si>
    <t>fraction</t>
  </si>
  <si>
    <t>t / ha</t>
  </si>
  <si>
    <t>d</t>
  </si>
  <si>
    <t>kg</t>
  </si>
  <si>
    <t>kg DM/head/day</t>
  </si>
  <si>
    <t>head</t>
  </si>
  <si>
    <t>kg CH4/head/day</t>
  </si>
  <si>
    <t>days</t>
  </si>
  <si>
    <t>t CH4</t>
  </si>
  <si>
    <t>Lamb rate of ewes and maidens</t>
  </si>
  <si>
    <t>Lamb marking rate per ewe mated</t>
  </si>
  <si>
    <t>Proportion of ewes and maidens lactating</t>
  </si>
  <si>
    <t>feed adjustment value</t>
  </si>
  <si>
    <t>Dry matter availability</t>
  </si>
  <si>
    <t>Dry matter digestibility</t>
  </si>
  <si>
    <t>metabolizability of the diet</t>
  </si>
  <si>
    <t>liveweight</t>
  </si>
  <si>
    <t>Potential intake</t>
  </si>
  <si>
    <t>Relative intake</t>
  </si>
  <si>
    <t>Additional intake for milk production</t>
  </si>
  <si>
    <t>Daily feed intake</t>
  </si>
  <si>
    <t>Number of sheep</t>
  </si>
  <si>
    <t>Daily methane production</t>
  </si>
  <si>
    <t>Days in each time period</t>
  </si>
  <si>
    <t>Total annual methane production</t>
  </si>
  <si>
    <t>LRjk=3,4</t>
  </si>
  <si>
    <t>LMRjk=3,4</t>
  </si>
  <si>
    <t>LEjk=3,4</t>
  </si>
  <si>
    <t>FAk=3,4</t>
  </si>
  <si>
    <t>DMAjk</t>
  </si>
  <si>
    <t>DMDjk</t>
  </si>
  <si>
    <t>qmjk</t>
  </si>
  <si>
    <t>Wjk</t>
  </si>
  <si>
    <t>PIjk</t>
  </si>
  <si>
    <t>RIjk</t>
  </si>
  <si>
    <t>MAjk=3,4</t>
  </si>
  <si>
    <t>Ijk</t>
  </si>
  <si>
    <t>Njk</t>
  </si>
  <si>
    <t>Mijk</t>
  </si>
  <si>
    <t>Dj</t>
  </si>
  <si>
    <t>Eenteric</t>
  </si>
  <si>
    <t>Scenario</t>
  </si>
  <si>
    <t>Class</t>
  </si>
  <si>
    <t>Rams</t>
  </si>
  <si>
    <t>Wethers</t>
  </si>
  <si>
    <t>Maiden ewes</t>
  </si>
  <si>
    <t>Breeding ewes</t>
  </si>
  <si>
    <t>Other ewes</t>
  </si>
  <si>
    <t>Lambs and hoggets</t>
  </si>
  <si>
    <t>Baseline</t>
  </si>
  <si>
    <t>Season</t>
  </si>
  <si>
    <t>Spring</t>
  </si>
  <si>
    <t>Summer</t>
  </si>
  <si>
    <t>Autumn</t>
  </si>
  <si>
    <t>Winter</t>
  </si>
  <si>
    <t>A.1.4.3</t>
  </si>
  <si>
    <t>ACT/NSW</t>
  </si>
  <si>
    <t>Queensland</t>
  </si>
  <si>
    <t>South Australia</t>
  </si>
  <si>
    <t>Tasmania</t>
  </si>
  <si>
    <t>Victoria</t>
  </si>
  <si>
    <t>Western Australia</t>
  </si>
  <si>
    <t>State</t>
  </si>
  <si>
    <t>A.1.4.2</t>
  </si>
  <si>
    <t>DMD</t>
  </si>
  <si>
    <t>A.1.4.1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</si>
</sst>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95"/>
  <sheetViews>
    <sheetView tabSelected="1" workbookViewId="0">
      <selection activeCell="N11" sqref="N11"/>
    </sheetView>
  </sheetViews>
  <sheetFormatPr baseColWidth="10" defaultRowHeight="16" x14ac:dyDescent="0.2"/>
  <sheetData>
    <row r="2" spans="1:31" x14ac:dyDescent="0.2">
      <c r="G2" t="s">
        <v>0</v>
      </c>
      <c r="K2" t="s">
        <v>1</v>
      </c>
      <c r="M2" t="s">
        <v>2</v>
      </c>
      <c r="N2" t="s">
        <v>3</v>
      </c>
      <c r="O2" t="s">
        <v>4</v>
      </c>
      <c r="P2" t="s">
        <v>5</v>
      </c>
      <c r="R2" t="s">
        <v>6</v>
      </c>
      <c r="T2" t="s">
        <v>7</v>
      </c>
    </row>
    <row r="3" spans="1:31" x14ac:dyDescent="0.2"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X3">
        <v>351</v>
      </c>
      <c r="Y3" t="s">
        <v>57</v>
      </c>
      <c r="Z3">
        <v>1.3</v>
      </c>
    </row>
    <row r="4" spans="1:31" x14ac:dyDescent="0.2">
      <c r="E4" t="s">
        <v>24</v>
      </c>
      <c r="F4" t="s">
        <v>24</v>
      </c>
      <c r="G4" t="s">
        <v>25</v>
      </c>
      <c r="H4" t="s">
        <v>26</v>
      </c>
      <c r="I4" t="s">
        <v>26</v>
      </c>
      <c r="J4" t="s">
        <v>26</v>
      </c>
      <c r="K4" t="s">
        <v>25</v>
      </c>
      <c r="L4" t="s">
        <v>26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26</v>
      </c>
      <c r="T4" t="s">
        <v>25</v>
      </c>
    </row>
    <row r="5" spans="1:31" x14ac:dyDescent="0.2">
      <c r="E5" t="s">
        <v>27</v>
      </c>
      <c r="F5" t="s">
        <v>27</v>
      </c>
      <c r="G5" t="s">
        <v>27</v>
      </c>
      <c r="H5" t="s">
        <v>27</v>
      </c>
      <c r="I5" t="s">
        <v>24</v>
      </c>
      <c r="J5" t="s">
        <v>24</v>
      </c>
      <c r="K5" t="s">
        <v>27</v>
      </c>
      <c r="L5" t="s">
        <v>24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24</v>
      </c>
      <c r="T5" t="s">
        <v>27</v>
      </c>
    </row>
    <row r="8" spans="1:31" x14ac:dyDescent="0.2">
      <c r="E8" t="s">
        <v>28</v>
      </c>
      <c r="F8" t="s">
        <v>28</v>
      </c>
      <c r="G8" t="s">
        <v>29</v>
      </c>
      <c r="H8" t="s">
        <v>29</v>
      </c>
      <c r="I8" t="s">
        <v>30</v>
      </c>
      <c r="J8" t="s">
        <v>28</v>
      </c>
      <c r="K8" t="s">
        <v>31</v>
      </c>
      <c r="L8" t="s">
        <v>32</v>
      </c>
      <c r="M8" t="s">
        <v>33</v>
      </c>
      <c r="N8" t="s">
        <v>31</v>
      </c>
      <c r="O8" t="s">
        <v>31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</row>
    <row r="9" spans="1:31" x14ac:dyDescent="0.2"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52</v>
      </c>
      <c r="T9" t="s">
        <v>53</v>
      </c>
    </row>
    <row r="10" spans="1:31" x14ac:dyDescent="0.2">
      <c r="A10" t="s">
        <v>70</v>
      </c>
      <c r="B10" t="s">
        <v>91</v>
      </c>
      <c r="C10" t="s">
        <v>71</v>
      </c>
      <c r="D10" t="s">
        <v>79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 t="s">
        <v>69</v>
      </c>
    </row>
    <row r="11" spans="1:31" x14ac:dyDescent="0.2">
      <c r="A11" t="s">
        <v>78</v>
      </c>
      <c r="B11" t="s">
        <v>85</v>
      </c>
      <c r="C11" t="s">
        <v>72</v>
      </c>
      <c r="D11" t="s">
        <v>80</v>
      </c>
      <c r="E11">
        <v>0</v>
      </c>
      <c r="F11">
        <v>0</v>
      </c>
      <c r="G11">
        <v>0</v>
      </c>
      <c r="I11">
        <f>$Z$17</f>
        <v>2.9</v>
      </c>
      <c r="J11">
        <f>$Z$45</f>
        <v>0.75</v>
      </c>
      <c r="K11">
        <f>(0.795 * J11) - 0.0014</f>
        <v>0.5948500000000001</v>
      </c>
      <c r="L11">
        <f>$Z72</f>
        <v>75</v>
      </c>
      <c r="M11">
        <f>(104.7 * K11 + 0.307 * L11- 15) * L11 * 10^-3</f>
        <v>5.2729346250000022</v>
      </c>
      <c r="N11">
        <f>1-EXP(-2*POWER(I11,2))</f>
        <v>0.9999999504359468</v>
      </c>
      <c r="O11">
        <f>(G11 * H11) + (1 - G11)</f>
        <v>1</v>
      </c>
      <c r="P11">
        <f>M11 * N11 * O11</f>
        <v>5.2729343636519896</v>
      </c>
      <c r="R11">
        <f>(P11 * 0.0188) + 0.00158</f>
        <v>0.1007111660366574</v>
      </c>
    </row>
    <row r="12" spans="1:31" x14ac:dyDescent="0.2">
      <c r="D12" t="s">
        <v>81</v>
      </c>
      <c r="E12">
        <v>0</v>
      </c>
      <c r="F12">
        <v>0</v>
      </c>
      <c r="G12">
        <v>0</v>
      </c>
      <c r="I12">
        <f>$Z$18</f>
        <v>2.5</v>
      </c>
      <c r="J12">
        <f>$Z$46</f>
        <v>0.61</v>
      </c>
      <c r="K12">
        <f t="shared" ref="K12:K34" si="0">(0.795 * J12) - 0.0014</f>
        <v>0.48354999999999998</v>
      </c>
      <c r="L12">
        <f t="shared" ref="L12:L14" si="1">$Z73</f>
        <v>75</v>
      </c>
      <c r="M12">
        <f t="shared" ref="M12:M33" si="2">(104.7 * K12 + 0.307 * L12- 15) * L12 * 10^-3</f>
        <v>4.3989513749999993</v>
      </c>
      <c r="N12">
        <f t="shared" ref="N12:N34" si="3">1-EXP(-2*POWER(I12,2))</f>
        <v>0.99999627334682795</v>
      </c>
    </row>
    <row r="13" spans="1:31" x14ac:dyDescent="0.2">
      <c r="D13" t="s">
        <v>82</v>
      </c>
      <c r="E13">
        <v>0</v>
      </c>
      <c r="F13">
        <v>0</v>
      </c>
      <c r="G13">
        <v>0</v>
      </c>
      <c r="I13">
        <f>$Z$19</f>
        <v>1.6</v>
      </c>
      <c r="J13">
        <f>$Z$47</f>
        <v>0.64</v>
      </c>
      <c r="K13">
        <f t="shared" si="0"/>
        <v>0.50740000000000007</v>
      </c>
      <c r="L13">
        <f t="shared" si="1"/>
        <v>69</v>
      </c>
      <c r="M13">
        <f t="shared" si="2"/>
        <v>4.092236820000001</v>
      </c>
      <c r="N13">
        <f t="shared" si="3"/>
        <v>0.99402397710499402</v>
      </c>
    </row>
    <row r="14" spans="1:31" x14ac:dyDescent="0.2">
      <c r="D14" t="s">
        <v>83</v>
      </c>
      <c r="E14">
        <v>0</v>
      </c>
      <c r="F14">
        <v>0</v>
      </c>
      <c r="G14">
        <v>0</v>
      </c>
      <c r="I14">
        <f>$Z$20</f>
        <v>1.7</v>
      </c>
      <c r="J14">
        <f>$Z$48</f>
        <v>0.72</v>
      </c>
      <c r="K14">
        <f t="shared" si="0"/>
        <v>0.57100000000000006</v>
      </c>
      <c r="L14">
        <f t="shared" si="1"/>
        <v>69</v>
      </c>
      <c r="M14">
        <f t="shared" si="2"/>
        <v>4.5517022999999996</v>
      </c>
      <c r="N14">
        <f t="shared" si="3"/>
        <v>0.99691128459176326</v>
      </c>
      <c r="Y14" t="s">
        <v>84</v>
      </c>
    </row>
    <row r="15" spans="1:31" x14ac:dyDescent="0.2">
      <c r="A15">
        <v>2</v>
      </c>
      <c r="C15" t="s">
        <v>73</v>
      </c>
      <c r="D15" t="s">
        <v>80</v>
      </c>
      <c r="E15">
        <v>0</v>
      </c>
      <c r="F15">
        <v>0</v>
      </c>
      <c r="G15">
        <v>0</v>
      </c>
      <c r="I15">
        <f>$AA$17</f>
        <v>2.9</v>
      </c>
      <c r="J15">
        <f>$AA$45</f>
        <v>0.75</v>
      </c>
      <c r="K15">
        <f t="shared" si="0"/>
        <v>0.5948500000000001</v>
      </c>
      <c r="L15">
        <f>$AA72</f>
        <v>62</v>
      </c>
      <c r="M15">
        <f t="shared" si="2"/>
        <v>4.1115172900000001</v>
      </c>
      <c r="N15">
        <f t="shared" si="3"/>
        <v>0.9999999504359468</v>
      </c>
      <c r="Y15" t="s">
        <v>58</v>
      </c>
    </row>
    <row r="16" spans="1:31" x14ac:dyDescent="0.2">
      <c r="D16" t="s">
        <v>81</v>
      </c>
      <c r="E16">
        <v>0</v>
      </c>
      <c r="F16">
        <v>0</v>
      </c>
      <c r="G16">
        <v>0</v>
      </c>
      <c r="I16">
        <f>$AA$18</f>
        <v>2.5</v>
      </c>
      <c r="J16">
        <f>$AA$46</f>
        <v>0.61</v>
      </c>
      <c r="K16">
        <f t="shared" si="0"/>
        <v>0.48354999999999998</v>
      </c>
      <c r="L16">
        <f t="shared" ref="L16:L18" si="4">$AA73</f>
        <v>55</v>
      </c>
      <c r="M16">
        <f t="shared" si="2"/>
        <v>2.8881976750000002</v>
      </c>
      <c r="N16">
        <f t="shared" si="3"/>
        <v>0.99999627334682795</v>
      </c>
      <c r="Z16" t="s">
        <v>72</v>
      </c>
      <c r="AA16" t="s">
        <v>73</v>
      </c>
      <c r="AB16" t="s">
        <v>74</v>
      </c>
      <c r="AC16" t="s">
        <v>75</v>
      </c>
      <c r="AD16" t="s">
        <v>76</v>
      </c>
      <c r="AE16" t="s">
        <v>77</v>
      </c>
    </row>
    <row r="17" spans="1:31" x14ac:dyDescent="0.2">
      <c r="D17" t="s">
        <v>82</v>
      </c>
      <c r="E17">
        <v>0</v>
      </c>
      <c r="F17">
        <v>0</v>
      </c>
      <c r="G17">
        <v>0</v>
      </c>
      <c r="I17">
        <f>$AA$19</f>
        <v>1.6</v>
      </c>
      <c r="J17">
        <f>$AA$47</f>
        <v>0.64</v>
      </c>
      <c r="K17">
        <f t="shared" si="0"/>
        <v>0.50740000000000007</v>
      </c>
      <c r="L17">
        <f t="shared" si="4"/>
        <v>55</v>
      </c>
      <c r="M17">
        <f t="shared" si="2"/>
        <v>3.0255379000000002</v>
      </c>
      <c r="N17">
        <f t="shared" si="3"/>
        <v>0.99402397710499402</v>
      </c>
      <c r="X17" t="s">
        <v>85</v>
      </c>
      <c r="Y17" t="s">
        <v>80</v>
      </c>
      <c r="Z17">
        <v>2.9</v>
      </c>
      <c r="AA17">
        <v>2.9</v>
      </c>
      <c r="AB17">
        <v>2.9</v>
      </c>
      <c r="AC17">
        <v>2.9</v>
      </c>
      <c r="AD17">
        <v>2.9</v>
      </c>
      <c r="AE17">
        <v>2.9</v>
      </c>
    </row>
    <row r="18" spans="1:31" x14ac:dyDescent="0.2">
      <c r="D18" t="s">
        <v>83</v>
      </c>
      <c r="E18">
        <v>0</v>
      </c>
      <c r="F18">
        <v>0</v>
      </c>
      <c r="G18">
        <v>0</v>
      </c>
      <c r="I18">
        <f>$AA$20</f>
        <v>1.7</v>
      </c>
      <c r="J18">
        <f>$AA$48</f>
        <v>0.72</v>
      </c>
      <c r="K18">
        <f t="shared" si="0"/>
        <v>0.57100000000000006</v>
      </c>
      <c r="L18">
        <f t="shared" si="4"/>
        <v>55</v>
      </c>
      <c r="M18">
        <f t="shared" si="2"/>
        <v>3.3917785</v>
      </c>
      <c r="N18">
        <f t="shared" si="3"/>
        <v>0.99691128459176326</v>
      </c>
      <c r="Y18" t="s">
        <v>81</v>
      </c>
      <c r="Z18">
        <v>2.5</v>
      </c>
      <c r="AA18">
        <v>2.5</v>
      </c>
      <c r="AB18">
        <v>2.5</v>
      </c>
      <c r="AC18">
        <v>2.5</v>
      </c>
      <c r="AD18">
        <v>2.5</v>
      </c>
      <c r="AE18">
        <v>2.5</v>
      </c>
    </row>
    <row r="19" spans="1:31" x14ac:dyDescent="0.2">
      <c r="A19">
        <v>3</v>
      </c>
      <c r="C19" t="s">
        <v>74</v>
      </c>
      <c r="D19" t="s">
        <v>80</v>
      </c>
      <c r="E19">
        <v>90</v>
      </c>
      <c r="F19">
        <v>85</v>
      </c>
      <c r="G19">
        <f>(E19*MIN(F19,100))/100</f>
        <v>76.5</v>
      </c>
      <c r="H19">
        <f>$Z$3</f>
        <v>1.3</v>
      </c>
      <c r="I19">
        <f>$AB$17</f>
        <v>2.9</v>
      </c>
      <c r="J19">
        <f>$AB$45</f>
        <v>0.75</v>
      </c>
      <c r="K19">
        <f t="shared" si="0"/>
        <v>0.5948500000000001</v>
      </c>
      <c r="L19">
        <f>$AB72</f>
        <v>44</v>
      </c>
      <c r="M19">
        <f t="shared" si="2"/>
        <v>2.6747069800000003</v>
      </c>
      <c r="N19">
        <f t="shared" si="3"/>
        <v>0.9999999504359468</v>
      </c>
      <c r="Y19" t="s">
        <v>82</v>
      </c>
      <c r="Z19">
        <v>1.6</v>
      </c>
      <c r="AA19">
        <v>1.6</v>
      </c>
      <c r="AB19">
        <v>1.6</v>
      </c>
      <c r="AC19">
        <v>1.6</v>
      </c>
      <c r="AD19">
        <v>1.6</v>
      </c>
      <c r="AE19">
        <v>1.6</v>
      </c>
    </row>
    <row r="20" spans="1:31" x14ac:dyDescent="0.2">
      <c r="D20" t="s">
        <v>81</v>
      </c>
      <c r="E20">
        <v>0</v>
      </c>
      <c r="F20">
        <v>0</v>
      </c>
      <c r="G20">
        <v>0</v>
      </c>
      <c r="I20">
        <f>$AB$18</f>
        <v>2.5</v>
      </c>
      <c r="J20">
        <f>$AB$46</f>
        <v>0.61</v>
      </c>
      <c r="K20">
        <f t="shared" si="0"/>
        <v>0.48354999999999998</v>
      </c>
      <c r="L20">
        <f t="shared" ref="L20:L22" si="5">$AB73</f>
        <v>42</v>
      </c>
      <c r="M20">
        <f t="shared" si="2"/>
        <v>2.0379107699999999</v>
      </c>
      <c r="N20">
        <f t="shared" si="3"/>
        <v>0.99999627334682795</v>
      </c>
      <c r="Y20" t="s">
        <v>83</v>
      </c>
      <c r="Z20">
        <v>1.7</v>
      </c>
      <c r="AA20">
        <v>1.7</v>
      </c>
      <c r="AB20">
        <v>1.7</v>
      </c>
      <c r="AC20">
        <v>1.7</v>
      </c>
      <c r="AD20">
        <v>1.7</v>
      </c>
      <c r="AE20">
        <v>1.7</v>
      </c>
    </row>
    <row r="21" spans="1:31" x14ac:dyDescent="0.2">
      <c r="D21" t="s">
        <v>82</v>
      </c>
      <c r="E21">
        <v>0</v>
      </c>
      <c r="F21">
        <v>0</v>
      </c>
      <c r="G21">
        <v>0</v>
      </c>
      <c r="I21">
        <f>$AB$19</f>
        <v>1.6</v>
      </c>
      <c r="J21">
        <f>$AB$47</f>
        <v>0.64</v>
      </c>
      <c r="K21">
        <f t="shared" si="0"/>
        <v>0.50740000000000007</v>
      </c>
      <c r="L21">
        <f t="shared" si="5"/>
        <v>43</v>
      </c>
      <c r="M21">
        <f t="shared" si="2"/>
        <v>2.2070085400000004</v>
      </c>
      <c r="N21">
        <f t="shared" si="3"/>
        <v>0.99402397710499402</v>
      </c>
      <c r="X21" t="s">
        <v>86</v>
      </c>
      <c r="Y21" t="s">
        <v>80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</row>
    <row r="22" spans="1:31" x14ac:dyDescent="0.2">
      <c r="D22" t="s">
        <v>83</v>
      </c>
      <c r="E22">
        <v>0</v>
      </c>
      <c r="F22">
        <v>0</v>
      </c>
      <c r="G22">
        <v>0</v>
      </c>
      <c r="I22">
        <f>$AB$20</f>
        <v>1.7</v>
      </c>
      <c r="J22">
        <f>$AB$48</f>
        <v>0.72</v>
      </c>
      <c r="K22">
        <f t="shared" si="0"/>
        <v>0.57100000000000006</v>
      </c>
      <c r="L22">
        <f t="shared" si="5"/>
        <v>45</v>
      </c>
      <c r="M22">
        <f t="shared" si="2"/>
        <v>2.6369415000000003</v>
      </c>
      <c r="N22">
        <f t="shared" si="3"/>
        <v>0.99691128459176326</v>
      </c>
      <c r="Y22" t="s">
        <v>81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</row>
    <row r="23" spans="1:31" x14ac:dyDescent="0.2">
      <c r="A23">
        <v>4</v>
      </c>
      <c r="C23" t="s">
        <v>75</v>
      </c>
      <c r="D23" t="s">
        <v>80</v>
      </c>
      <c r="E23">
        <v>95</v>
      </c>
      <c r="F23">
        <v>88</v>
      </c>
      <c r="G23">
        <f>(E23*MIN(F23,100))/100</f>
        <v>83.6</v>
      </c>
      <c r="H23">
        <f>$Z$3</f>
        <v>1.3</v>
      </c>
      <c r="I23">
        <f>$AC$17</f>
        <v>2.9</v>
      </c>
      <c r="J23">
        <f>$AC$45</f>
        <v>0.75</v>
      </c>
      <c r="K23">
        <f t="shared" si="0"/>
        <v>0.5948500000000001</v>
      </c>
      <c r="L23">
        <f>$AC72</f>
        <v>54</v>
      </c>
      <c r="M23">
        <f t="shared" si="2"/>
        <v>3.4483749300000008</v>
      </c>
      <c r="N23">
        <f t="shared" si="3"/>
        <v>0.9999999504359468</v>
      </c>
      <c r="Y23" t="s">
        <v>82</v>
      </c>
      <c r="Z23">
        <v>2.2000000000000002</v>
      </c>
      <c r="AA23">
        <v>2.2000000000000002</v>
      </c>
      <c r="AB23">
        <v>2.2000000000000002</v>
      </c>
      <c r="AC23">
        <v>2.2000000000000002</v>
      </c>
      <c r="AD23">
        <v>2.2000000000000002</v>
      </c>
      <c r="AE23">
        <v>2.2000000000000002</v>
      </c>
    </row>
    <row r="24" spans="1:31" x14ac:dyDescent="0.2">
      <c r="D24" t="s">
        <v>81</v>
      </c>
      <c r="E24">
        <v>0</v>
      </c>
      <c r="F24">
        <v>0</v>
      </c>
      <c r="G24">
        <v>0</v>
      </c>
      <c r="I24">
        <f>$AC$18</f>
        <v>2.5</v>
      </c>
      <c r="J24">
        <f>$AC$46</f>
        <v>0.61</v>
      </c>
      <c r="K24">
        <f t="shared" si="0"/>
        <v>0.48354999999999998</v>
      </c>
      <c r="L24">
        <f t="shared" ref="L24:L26" si="6">$AC73</f>
        <v>49</v>
      </c>
      <c r="M24">
        <f t="shared" si="2"/>
        <v>2.4828635649999997</v>
      </c>
      <c r="N24">
        <f t="shared" si="3"/>
        <v>0.99999627334682795</v>
      </c>
      <c r="Y24" t="s">
        <v>83</v>
      </c>
      <c r="Z24">
        <v>1.7</v>
      </c>
      <c r="AA24">
        <v>1.7</v>
      </c>
      <c r="AB24">
        <v>1.7</v>
      </c>
      <c r="AC24">
        <v>1.7</v>
      </c>
      <c r="AD24">
        <v>1.7</v>
      </c>
      <c r="AE24">
        <v>1.7</v>
      </c>
    </row>
    <row r="25" spans="1:31" x14ac:dyDescent="0.2">
      <c r="D25" t="s">
        <v>82</v>
      </c>
      <c r="E25">
        <v>0</v>
      </c>
      <c r="F25">
        <v>0</v>
      </c>
      <c r="G25">
        <v>0</v>
      </c>
      <c r="I25">
        <f>$AC$19</f>
        <v>1.6</v>
      </c>
      <c r="J25">
        <f>$AC$47</f>
        <v>0.64</v>
      </c>
      <c r="K25">
        <f t="shared" si="0"/>
        <v>0.50740000000000007</v>
      </c>
      <c r="L25">
        <f t="shared" si="6"/>
        <v>50</v>
      </c>
      <c r="M25">
        <f t="shared" si="2"/>
        <v>2.6737390000000008</v>
      </c>
      <c r="N25">
        <f t="shared" si="3"/>
        <v>0.99402397710499402</v>
      </c>
      <c r="X25" t="s">
        <v>87</v>
      </c>
      <c r="Y25" t="s">
        <v>80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</row>
    <row r="26" spans="1:31" x14ac:dyDescent="0.2">
      <c r="D26" t="s">
        <v>83</v>
      </c>
      <c r="E26">
        <v>0</v>
      </c>
      <c r="F26">
        <v>0</v>
      </c>
      <c r="G26">
        <v>0</v>
      </c>
      <c r="I26">
        <f>$AC$20</f>
        <v>1.7</v>
      </c>
      <c r="J26">
        <f>$AC$48</f>
        <v>0.72</v>
      </c>
      <c r="K26">
        <f t="shared" si="0"/>
        <v>0.57100000000000006</v>
      </c>
      <c r="L26">
        <f t="shared" si="6"/>
        <v>50</v>
      </c>
      <c r="M26">
        <f t="shared" si="2"/>
        <v>3.0066850000000005</v>
      </c>
      <c r="N26">
        <f t="shared" si="3"/>
        <v>0.99691128459176326</v>
      </c>
      <c r="Y26" t="s">
        <v>81</v>
      </c>
      <c r="Z26">
        <v>2.5</v>
      </c>
      <c r="AA26">
        <v>2.5</v>
      </c>
      <c r="AB26">
        <v>2.5</v>
      </c>
      <c r="AC26">
        <v>2.5</v>
      </c>
      <c r="AD26">
        <v>2.5</v>
      </c>
      <c r="AE26">
        <v>2.5</v>
      </c>
    </row>
    <row r="27" spans="1:31" x14ac:dyDescent="0.2">
      <c r="A27">
        <v>5</v>
      </c>
      <c r="C27" t="s">
        <v>76</v>
      </c>
      <c r="D27" t="s">
        <v>80</v>
      </c>
      <c r="E27">
        <v>0</v>
      </c>
      <c r="F27">
        <v>0</v>
      </c>
      <c r="G27">
        <v>0</v>
      </c>
      <c r="I27">
        <f>$AD$17</f>
        <v>2.9</v>
      </c>
      <c r="J27">
        <f>$AD$45</f>
        <v>0.75</v>
      </c>
      <c r="K27">
        <f t="shared" si="0"/>
        <v>0.5948500000000001</v>
      </c>
      <c r="L27">
        <f>$AD72</f>
        <v>56</v>
      </c>
      <c r="M27">
        <f t="shared" si="2"/>
        <v>3.6104765200000011</v>
      </c>
      <c r="N27">
        <f t="shared" si="3"/>
        <v>0.9999999504359468</v>
      </c>
      <c r="Y27" t="s">
        <v>82</v>
      </c>
      <c r="Z27">
        <v>0.7</v>
      </c>
      <c r="AA27">
        <v>0.7</v>
      </c>
      <c r="AB27">
        <v>0.7</v>
      </c>
      <c r="AC27">
        <v>0.7</v>
      </c>
      <c r="AD27">
        <v>0.7</v>
      </c>
      <c r="AE27">
        <v>0.7</v>
      </c>
    </row>
    <row r="28" spans="1:31" x14ac:dyDescent="0.2">
      <c r="D28" t="s">
        <v>81</v>
      </c>
      <c r="E28">
        <v>0</v>
      </c>
      <c r="F28">
        <v>0</v>
      </c>
      <c r="G28">
        <v>0</v>
      </c>
      <c r="I28">
        <f>$AD$18</f>
        <v>2.5</v>
      </c>
      <c r="J28">
        <f>$AD$46</f>
        <v>0.61</v>
      </c>
      <c r="K28">
        <f t="shared" si="0"/>
        <v>0.48354999999999998</v>
      </c>
      <c r="L28">
        <f t="shared" ref="L28:L30" si="7">$AD73</f>
        <v>51</v>
      </c>
      <c r="M28">
        <f t="shared" si="2"/>
        <v>2.6155189349999994</v>
      </c>
      <c r="N28">
        <f t="shared" si="3"/>
        <v>0.99999627334682795</v>
      </c>
      <c r="Y28" t="s">
        <v>83</v>
      </c>
      <c r="Z28">
        <v>0.9</v>
      </c>
      <c r="AA28">
        <v>0.9</v>
      </c>
      <c r="AB28">
        <v>0.9</v>
      </c>
      <c r="AC28">
        <v>0.9</v>
      </c>
      <c r="AD28">
        <v>0.9</v>
      </c>
      <c r="AE28">
        <v>0.9</v>
      </c>
    </row>
    <row r="29" spans="1:31" x14ac:dyDescent="0.2">
      <c r="D29" t="s">
        <v>82</v>
      </c>
      <c r="E29">
        <v>0</v>
      </c>
      <c r="F29">
        <v>0</v>
      </c>
      <c r="G29">
        <v>0</v>
      </c>
      <c r="I29">
        <f>$AD$19</f>
        <v>1.6</v>
      </c>
      <c r="J29">
        <f>$AD$47</f>
        <v>0.64</v>
      </c>
      <c r="K29">
        <f t="shared" si="0"/>
        <v>0.50740000000000007</v>
      </c>
      <c r="L29">
        <f t="shared" si="7"/>
        <v>50</v>
      </c>
      <c r="M29">
        <f t="shared" si="2"/>
        <v>2.6737390000000008</v>
      </c>
      <c r="N29">
        <f t="shared" si="3"/>
        <v>0.99402397710499402</v>
      </c>
      <c r="X29" t="s">
        <v>88</v>
      </c>
      <c r="Y29" t="s">
        <v>80</v>
      </c>
      <c r="Z29">
        <v>2.5</v>
      </c>
      <c r="AA29">
        <v>2.5</v>
      </c>
      <c r="AB29">
        <v>2.5</v>
      </c>
      <c r="AC29">
        <v>2.5</v>
      </c>
      <c r="AD29">
        <v>2.5</v>
      </c>
      <c r="AE29">
        <v>2.5</v>
      </c>
    </row>
    <row r="30" spans="1:31" x14ac:dyDescent="0.2">
      <c r="D30" t="s">
        <v>83</v>
      </c>
      <c r="E30">
        <v>0</v>
      </c>
      <c r="F30">
        <v>0</v>
      </c>
      <c r="G30">
        <v>0</v>
      </c>
      <c r="I30">
        <f>$AD$20</f>
        <v>1.7</v>
      </c>
      <c r="J30">
        <f>$AD$48</f>
        <v>0.72</v>
      </c>
      <c r="K30">
        <f t="shared" si="0"/>
        <v>0.57100000000000006</v>
      </c>
      <c r="L30">
        <f t="shared" si="7"/>
        <v>51</v>
      </c>
      <c r="M30">
        <f t="shared" si="2"/>
        <v>3.0824757000000003</v>
      </c>
      <c r="N30">
        <f t="shared" si="3"/>
        <v>0.99691128459176326</v>
      </c>
      <c r="Y30" t="s">
        <v>81</v>
      </c>
      <c r="Z30">
        <v>2.5</v>
      </c>
      <c r="AA30">
        <v>2.5</v>
      </c>
      <c r="AB30">
        <v>2.5</v>
      </c>
      <c r="AC30">
        <v>2.5</v>
      </c>
      <c r="AD30">
        <v>2.5</v>
      </c>
      <c r="AE30">
        <v>2.5</v>
      </c>
    </row>
    <row r="31" spans="1:31" x14ac:dyDescent="0.2">
      <c r="A31">
        <v>6</v>
      </c>
      <c r="C31" t="s">
        <v>77</v>
      </c>
      <c r="D31" t="s">
        <v>80</v>
      </c>
      <c r="E31">
        <v>0</v>
      </c>
      <c r="F31">
        <v>0</v>
      </c>
      <c r="G31">
        <v>0</v>
      </c>
      <c r="I31">
        <f>$AE$17</f>
        <v>2.9</v>
      </c>
      <c r="J31">
        <f>$AE$45</f>
        <v>0.75</v>
      </c>
      <c r="K31">
        <f t="shared" si="0"/>
        <v>0.5948500000000001</v>
      </c>
      <c r="L31">
        <f>$AE72</f>
        <v>20</v>
      </c>
      <c r="M31">
        <f t="shared" si="2"/>
        <v>1.0684159000000002</v>
      </c>
      <c r="N31">
        <f t="shared" si="3"/>
        <v>0.9999999504359468</v>
      </c>
      <c r="Y31" t="s">
        <v>82</v>
      </c>
      <c r="Z31">
        <v>1.3</v>
      </c>
      <c r="AA31">
        <v>1.3</v>
      </c>
      <c r="AB31">
        <v>1.3</v>
      </c>
      <c r="AC31">
        <v>1.3</v>
      </c>
      <c r="AD31">
        <v>1.3</v>
      </c>
      <c r="AE31">
        <v>1.3</v>
      </c>
    </row>
    <row r="32" spans="1:31" x14ac:dyDescent="0.2">
      <c r="D32" t="s">
        <v>81</v>
      </c>
      <c r="E32">
        <v>0</v>
      </c>
      <c r="F32">
        <v>0</v>
      </c>
      <c r="G32">
        <v>0</v>
      </c>
      <c r="I32">
        <f>$AE$18</f>
        <v>2.5</v>
      </c>
      <c r="J32">
        <f>$AE$46</f>
        <v>0.61</v>
      </c>
      <c r="K32">
        <f t="shared" si="0"/>
        <v>0.48354999999999998</v>
      </c>
      <c r="L32">
        <f t="shared" ref="L32:L34" si="8">$AE73</f>
        <v>27</v>
      </c>
      <c r="M32">
        <f t="shared" si="2"/>
        <v>1.185750495</v>
      </c>
      <c r="N32">
        <f t="shared" si="3"/>
        <v>0.99999627334682795</v>
      </c>
      <c r="Y32" t="s">
        <v>83</v>
      </c>
      <c r="Z32">
        <v>0.8</v>
      </c>
      <c r="AA32">
        <v>0.8</v>
      </c>
      <c r="AB32">
        <v>0.8</v>
      </c>
      <c r="AC32">
        <v>0.8</v>
      </c>
      <c r="AD32">
        <v>0.8</v>
      </c>
      <c r="AE32">
        <v>0.8</v>
      </c>
    </row>
    <row r="33" spans="4:31" x14ac:dyDescent="0.2">
      <c r="D33" t="s">
        <v>82</v>
      </c>
      <c r="E33">
        <v>0</v>
      </c>
      <c r="F33">
        <v>0</v>
      </c>
      <c r="G33">
        <v>0</v>
      </c>
      <c r="I33">
        <f>$AE$19</f>
        <v>1.6</v>
      </c>
      <c r="J33">
        <f>$AE$47</f>
        <v>0.64</v>
      </c>
      <c r="K33">
        <f t="shared" si="0"/>
        <v>0.50740000000000007</v>
      </c>
      <c r="L33">
        <f t="shared" si="8"/>
        <v>32</v>
      </c>
      <c r="M33">
        <f t="shared" si="2"/>
        <v>1.5343609600000003</v>
      </c>
      <c r="N33">
        <f t="shared" si="3"/>
        <v>0.99402397710499402</v>
      </c>
      <c r="X33" t="s">
        <v>89</v>
      </c>
      <c r="Y33" t="s">
        <v>80</v>
      </c>
      <c r="Z33">
        <v>3.2</v>
      </c>
      <c r="AA33">
        <v>3.2</v>
      </c>
      <c r="AB33">
        <v>3.2</v>
      </c>
      <c r="AC33">
        <v>3.2</v>
      </c>
      <c r="AD33">
        <v>3.2</v>
      </c>
      <c r="AE33">
        <v>3.2</v>
      </c>
    </row>
    <row r="34" spans="4:31" x14ac:dyDescent="0.2">
      <c r="D34" t="s">
        <v>83</v>
      </c>
      <c r="E34">
        <v>0</v>
      </c>
      <c r="F34">
        <v>0</v>
      </c>
      <c r="G34">
        <v>0</v>
      </c>
      <c r="I34">
        <f>$AE$20</f>
        <v>1.7</v>
      </c>
      <c r="J34">
        <f>$AE$48</f>
        <v>0.72</v>
      </c>
      <c r="K34">
        <f t="shared" si="0"/>
        <v>0.57100000000000006</v>
      </c>
      <c r="L34">
        <f t="shared" si="8"/>
        <v>34</v>
      </c>
      <c r="M34">
        <f>(104.7 * K34 + 0.307 * L34- 15) * L34 * 10^-3</f>
        <v>1.8775378000000005</v>
      </c>
      <c r="N34">
        <f t="shared" si="3"/>
        <v>0.99691128459176326</v>
      </c>
      <c r="Y34" t="s">
        <v>81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</row>
    <row r="35" spans="4:31" x14ac:dyDescent="0.2">
      <c r="Y35" t="s">
        <v>82</v>
      </c>
      <c r="Z35">
        <v>1.8</v>
      </c>
      <c r="AA35">
        <v>1.8</v>
      </c>
      <c r="AB35">
        <v>1.8</v>
      </c>
      <c r="AC35">
        <v>1.8</v>
      </c>
      <c r="AD35">
        <v>1.8</v>
      </c>
      <c r="AE35">
        <v>1.8</v>
      </c>
    </row>
    <row r="36" spans="4:31" x14ac:dyDescent="0.2">
      <c r="Y36" t="s">
        <v>83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4:31" x14ac:dyDescent="0.2">
      <c r="X37" t="s">
        <v>90</v>
      </c>
      <c r="Y37" t="s">
        <v>80</v>
      </c>
      <c r="Z37">
        <v>3.5</v>
      </c>
      <c r="AA37">
        <v>3.5</v>
      </c>
      <c r="AB37">
        <v>3.5</v>
      </c>
      <c r="AC37">
        <v>3.5</v>
      </c>
      <c r="AD37">
        <v>3.5</v>
      </c>
      <c r="AE37">
        <v>3.5</v>
      </c>
    </row>
    <row r="38" spans="4:31" x14ac:dyDescent="0.2">
      <c r="Y38" t="s">
        <v>81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</row>
    <row r="39" spans="4:31" x14ac:dyDescent="0.2">
      <c r="Y39" t="s">
        <v>82</v>
      </c>
      <c r="Z39">
        <v>0.7</v>
      </c>
      <c r="AA39">
        <v>0.7</v>
      </c>
      <c r="AB39">
        <v>0.7</v>
      </c>
      <c r="AC39">
        <v>0.7</v>
      </c>
      <c r="AD39">
        <v>0.7</v>
      </c>
      <c r="AE39">
        <v>0.7</v>
      </c>
    </row>
    <row r="40" spans="4:31" x14ac:dyDescent="0.2">
      <c r="Y40" t="s">
        <v>83</v>
      </c>
      <c r="Z40">
        <v>1.2</v>
      </c>
      <c r="AA40">
        <v>1.2</v>
      </c>
      <c r="AB40">
        <v>1.2</v>
      </c>
      <c r="AC40">
        <v>1.2</v>
      </c>
      <c r="AD40">
        <v>1.2</v>
      </c>
      <c r="AE40">
        <v>1.2</v>
      </c>
    </row>
    <row r="43" spans="4:31" x14ac:dyDescent="0.2">
      <c r="Y43" t="s">
        <v>92</v>
      </c>
    </row>
    <row r="44" spans="4:31" x14ac:dyDescent="0.2">
      <c r="Y44" t="s">
        <v>93</v>
      </c>
    </row>
    <row r="45" spans="4:31" x14ac:dyDescent="0.2">
      <c r="Y45" t="s">
        <v>80</v>
      </c>
      <c r="Z45">
        <v>0.75</v>
      </c>
      <c r="AA45">
        <v>0.75</v>
      </c>
      <c r="AB45">
        <v>0.75</v>
      </c>
      <c r="AC45">
        <v>0.75</v>
      </c>
      <c r="AD45">
        <v>0.75</v>
      </c>
      <c r="AE45">
        <v>0.75</v>
      </c>
    </row>
    <row r="46" spans="4:31" x14ac:dyDescent="0.2">
      <c r="Y46" t="s">
        <v>81</v>
      </c>
      <c r="Z46">
        <v>0.61</v>
      </c>
      <c r="AA46">
        <v>0.61</v>
      </c>
      <c r="AB46">
        <v>0.61</v>
      </c>
      <c r="AC46">
        <v>0.61</v>
      </c>
      <c r="AD46">
        <v>0.61</v>
      </c>
      <c r="AE46">
        <v>0.61</v>
      </c>
    </row>
    <row r="47" spans="4:31" x14ac:dyDescent="0.2">
      <c r="Y47" t="s">
        <v>82</v>
      </c>
      <c r="Z47">
        <v>0.64</v>
      </c>
      <c r="AA47">
        <v>0.64</v>
      </c>
      <c r="AB47">
        <v>0.64</v>
      </c>
      <c r="AC47">
        <v>0.64</v>
      </c>
      <c r="AD47">
        <v>0.64</v>
      </c>
      <c r="AE47">
        <v>0.64</v>
      </c>
    </row>
    <row r="48" spans="4:31" x14ac:dyDescent="0.2">
      <c r="Y48" t="s">
        <v>83</v>
      </c>
      <c r="Z48">
        <v>0.72</v>
      </c>
      <c r="AA48">
        <v>0.72</v>
      </c>
      <c r="AB48">
        <v>0.72</v>
      </c>
      <c r="AC48">
        <v>0.72</v>
      </c>
      <c r="AD48">
        <v>0.72</v>
      </c>
      <c r="AE48">
        <v>0.72</v>
      </c>
    </row>
    <row r="49" spans="25:31" x14ac:dyDescent="0.2">
      <c r="Y49" t="s">
        <v>80</v>
      </c>
      <c r="Z49">
        <v>0.51</v>
      </c>
      <c r="AA49">
        <v>0.51</v>
      </c>
      <c r="AB49">
        <v>0.51</v>
      </c>
      <c r="AC49">
        <v>0.51</v>
      </c>
      <c r="AD49">
        <v>0.51</v>
      </c>
      <c r="AE49">
        <v>0.51</v>
      </c>
    </row>
    <row r="50" spans="25:31" x14ac:dyDescent="0.2">
      <c r="Y50" t="s">
        <v>81</v>
      </c>
      <c r="Z50">
        <v>0.55000000000000004</v>
      </c>
      <c r="AA50">
        <v>0.55000000000000004</v>
      </c>
      <c r="AB50">
        <v>0.55000000000000004</v>
      </c>
      <c r="AC50">
        <v>0.55000000000000004</v>
      </c>
      <c r="AD50">
        <v>0.55000000000000004</v>
      </c>
      <c r="AE50">
        <v>0.55000000000000004</v>
      </c>
    </row>
    <row r="51" spans="25:31" x14ac:dyDescent="0.2">
      <c r="Y51" t="s">
        <v>82</v>
      </c>
      <c r="Z51">
        <v>0.59</v>
      </c>
      <c r="AA51">
        <v>0.59</v>
      </c>
      <c r="AB51">
        <v>0.59</v>
      </c>
      <c r="AC51">
        <v>0.59</v>
      </c>
      <c r="AD51">
        <v>0.59</v>
      </c>
      <c r="AE51">
        <v>0.59</v>
      </c>
    </row>
    <row r="52" spans="25:31" x14ac:dyDescent="0.2">
      <c r="Y52" t="s">
        <v>83</v>
      </c>
      <c r="Z52">
        <v>0.57999999999999996</v>
      </c>
      <c r="AA52">
        <v>0.57999999999999996</v>
      </c>
      <c r="AB52">
        <v>0.57999999999999996</v>
      </c>
      <c r="AC52">
        <v>0.57999999999999996</v>
      </c>
      <c r="AD52">
        <v>0.57999999999999996</v>
      </c>
      <c r="AE52">
        <v>0.57999999999999996</v>
      </c>
    </row>
    <row r="53" spans="25:31" x14ac:dyDescent="0.2">
      <c r="Y53" t="s">
        <v>80</v>
      </c>
      <c r="Z53">
        <v>0.7</v>
      </c>
      <c r="AA53">
        <v>0.7</v>
      </c>
      <c r="AB53">
        <v>0.7</v>
      </c>
      <c r="AC53">
        <v>0.7</v>
      </c>
      <c r="AD53">
        <v>0.7</v>
      </c>
      <c r="AE53">
        <v>0.7</v>
      </c>
    </row>
    <row r="54" spans="25:31" x14ac:dyDescent="0.2">
      <c r="Y54" t="s">
        <v>81</v>
      </c>
      <c r="Z54">
        <v>0.55000000000000004</v>
      </c>
      <c r="AA54">
        <v>0.55000000000000004</v>
      </c>
      <c r="AB54">
        <v>0.55000000000000004</v>
      </c>
      <c r="AC54">
        <v>0.55000000000000004</v>
      </c>
      <c r="AD54">
        <v>0.55000000000000004</v>
      </c>
      <c r="AE54">
        <v>0.55000000000000004</v>
      </c>
    </row>
    <row r="55" spans="25:31" x14ac:dyDescent="0.2">
      <c r="Y55" t="s">
        <v>82</v>
      </c>
      <c r="Z55">
        <v>0.55000000000000004</v>
      </c>
      <c r="AA55">
        <v>0.55000000000000004</v>
      </c>
      <c r="AB55">
        <v>0.55000000000000004</v>
      </c>
      <c r="AC55">
        <v>0.55000000000000004</v>
      </c>
      <c r="AD55">
        <v>0.55000000000000004</v>
      </c>
      <c r="AE55">
        <v>0.55000000000000004</v>
      </c>
    </row>
    <row r="56" spans="25:31" x14ac:dyDescent="0.2">
      <c r="Y56" t="s">
        <v>83</v>
      </c>
      <c r="Z56">
        <v>0.75</v>
      </c>
      <c r="AA56">
        <v>0.75</v>
      </c>
      <c r="AB56">
        <v>0.75</v>
      </c>
      <c r="AC56">
        <v>0.75</v>
      </c>
      <c r="AD56">
        <v>0.75</v>
      </c>
      <c r="AE56">
        <v>0.75</v>
      </c>
    </row>
    <row r="57" spans="25:31" x14ac:dyDescent="0.2">
      <c r="Y57" t="s">
        <v>80</v>
      </c>
      <c r="Z57">
        <v>0.75</v>
      </c>
      <c r="AA57">
        <v>0.75</v>
      </c>
      <c r="AB57">
        <v>0.75</v>
      </c>
      <c r="AC57">
        <v>0.75</v>
      </c>
      <c r="AD57">
        <v>0.75</v>
      </c>
      <c r="AE57">
        <v>0.75</v>
      </c>
    </row>
    <row r="58" spans="25:31" x14ac:dyDescent="0.2">
      <c r="Y58" t="s">
        <v>81</v>
      </c>
      <c r="Z58">
        <v>0.55000000000000004</v>
      </c>
      <c r="AA58">
        <v>0.55000000000000004</v>
      </c>
      <c r="AB58">
        <v>0.55000000000000004</v>
      </c>
      <c r="AC58">
        <v>0.55000000000000004</v>
      </c>
      <c r="AD58">
        <v>0.55000000000000004</v>
      </c>
      <c r="AE58">
        <v>0.55000000000000004</v>
      </c>
    </row>
    <row r="59" spans="25:31" x14ac:dyDescent="0.2">
      <c r="Y59" t="s">
        <v>82</v>
      </c>
      <c r="Z59">
        <v>0.67</v>
      </c>
      <c r="AA59">
        <v>0.67</v>
      </c>
      <c r="AB59">
        <v>0.67</v>
      </c>
      <c r="AC59">
        <v>0.67</v>
      </c>
      <c r="AD59">
        <v>0.67</v>
      </c>
      <c r="AE59">
        <v>0.67</v>
      </c>
    </row>
    <row r="60" spans="25:31" x14ac:dyDescent="0.2">
      <c r="Y60" t="s">
        <v>83</v>
      </c>
      <c r="Z60">
        <v>0.7</v>
      </c>
      <c r="AA60">
        <v>0.7</v>
      </c>
      <c r="AB60">
        <v>0.7</v>
      </c>
      <c r="AC60">
        <v>0.7</v>
      </c>
      <c r="AD60">
        <v>0.7</v>
      </c>
      <c r="AE60">
        <v>0.7</v>
      </c>
    </row>
    <row r="61" spans="25:31" x14ac:dyDescent="0.2">
      <c r="Y61" t="s">
        <v>80</v>
      </c>
      <c r="Z61">
        <v>0.7</v>
      </c>
      <c r="AA61">
        <v>0.7</v>
      </c>
      <c r="AB61">
        <v>0.7</v>
      </c>
      <c r="AC61">
        <v>0.7</v>
      </c>
      <c r="AD61">
        <v>0.7</v>
      </c>
      <c r="AE61">
        <v>0.7</v>
      </c>
    </row>
    <row r="62" spans="25:31" x14ac:dyDescent="0.2">
      <c r="Y62" t="s">
        <v>81</v>
      </c>
      <c r="Z62">
        <v>0.55000000000000004</v>
      </c>
      <c r="AA62">
        <v>0.55000000000000004</v>
      </c>
      <c r="AB62">
        <v>0.55000000000000004</v>
      </c>
      <c r="AC62">
        <v>0.55000000000000004</v>
      </c>
      <c r="AD62">
        <v>0.55000000000000004</v>
      </c>
      <c r="AE62">
        <v>0.55000000000000004</v>
      </c>
    </row>
    <row r="63" spans="25:31" x14ac:dyDescent="0.2">
      <c r="Y63" t="s">
        <v>82</v>
      </c>
      <c r="Z63">
        <v>0.65</v>
      </c>
      <c r="AA63">
        <v>0.65</v>
      </c>
      <c r="AB63">
        <v>0.65</v>
      </c>
      <c r="AC63">
        <v>0.65</v>
      </c>
      <c r="AD63">
        <v>0.65</v>
      </c>
      <c r="AE63">
        <v>0.65</v>
      </c>
    </row>
    <row r="64" spans="25:31" x14ac:dyDescent="0.2">
      <c r="Y64" t="s">
        <v>83</v>
      </c>
      <c r="Z64">
        <v>0.6</v>
      </c>
      <c r="AA64">
        <v>0.6</v>
      </c>
      <c r="AB64">
        <v>0.6</v>
      </c>
      <c r="AC64">
        <v>0.6</v>
      </c>
      <c r="AD64">
        <v>0.6</v>
      </c>
      <c r="AE64">
        <v>0.6</v>
      </c>
    </row>
    <row r="65" spans="25:31" x14ac:dyDescent="0.2">
      <c r="Y65" t="s">
        <v>80</v>
      </c>
      <c r="Z65">
        <v>0.73</v>
      </c>
      <c r="AA65">
        <v>0.73</v>
      </c>
      <c r="AB65">
        <v>0.73</v>
      </c>
      <c r="AC65">
        <v>0.73</v>
      </c>
      <c r="AD65">
        <v>0.73</v>
      </c>
      <c r="AE65">
        <v>0.73</v>
      </c>
    </row>
    <row r="66" spans="25:31" x14ac:dyDescent="0.2">
      <c r="Y66" t="s">
        <v>81</v>
      </c>
      <c r="Z66">
        <v>0.55000000000000004</v>
      </c>
      <c r="AA66">
        <v>0.55000000000000004</v>
      </c>
      <c r="AB66">
        <v>0.55000000000000004</v>
      </c>
      <c r="AC66">
        <v>0.55000000000000004</v>
      </c>
      <c r="AD66">
        <v>0.55000000000000004</v>
      </c>
      <c r="AE66">
        <v>0.55000000000000004</v>
      </c>
    </row>
    <row r="67" spans="25:31" x14ac:dyDescent="0.2">
      <c r="Y67" t="s">
        <v>82</v>
      </c>
      <c r="Z67">
        <v>0.5</v>
      </c>
      <c r="AA67">
        <v>0.5</v>
      </c>
      <c r="AB67">
        <v>0.7</v>
      </c>
      <c r="AC67">
        <v>0.7</v>
      </c>
      <c r="AD67">
        <v>0.5</v>
      </c>
      <c r="AE67">
        <v>0.7</v>
      </c>
    </row>
    <row r="68" spans="25:31" x14ac:dyDescent="0.2">
      <c r="Y68" t="s">
        <v>83</v>
      </c>
      <c r="Z68">
        <v>0.76</v>
      </c>
      <c r="AA68">
        <v>0.76</v>
      </c>
      <c r="AB68">
        <v>0.76</v>
      </c>
      <c r="AC68">
        <v>0.76</v>
      </c>
      <c r="AD68">
        <v>0.76</v>
      </c>
      <c r="AE68">
        <v>0.76</v>
      </c>
    </row>
    <row r="71" spans="25:31" x14ac:dyDescent="0.2">
      <c r="Y71" t="s">
        <v>94</v>
      </c>
      <c r="Z71" t="s">
        <v>61</v>
      </c>
    </row>
    <row r="72" spans="25:31" x14ac:dyDescent="0.2">
      <c r="Y72" t="s">
        <v>80</v>
      </c>
      <c r="Z72">
        <v>75</v>
      </c>
      <c r="AA72">
        <v>62</v>
      </c>
      <c r="AB72">
        <v>44</v>
      </c>
      <c r="AC72">
        <v>54</v>
      </c>
      <c r="AD72">
        <v>56</v>
      </c>
      <c r="AE72">
        <v>20</v>
      </c>
    </row>
    <row r="73" spans="25:31" x14ac:dyDescent="0.2">
      <c r="Y73" t="s">
        <v>81</v>
      </c>
      <c r="Z73">
        <v>75</v>
      </c>
      <c r="AA73">
        <v>55</v>
      </c>
      <c r="AB73">
        <v>42</v>
      </c>
      <c r="AC73">
        <v>49</v>
      </c>
      <c r="AD73">
        <v>51</v>
      </c>
      <c r="AE73">
        <v>27</v>
      </c>
    </row>
    <row r="74" spans="25:31" x14ac:dyDescent="0.2">
      <c r="Y74" t="s">
        <v>82</v>
      </c>
      <c r="Z74">
        <v>69</v>
      </c>
      <c r="AA74">
        <v>55</v>
      </c>
      <c r="AB74">
        <v>43</v>
      </c>
      <c r="AC74">
        <v>50</v>
      </c>
      <c r="AD74">
        <v>50</v>
      </c>
      <c r="AE74">
        <v>32</v>
      </c>
    </row>
    <row r="75" spans="25:31" x14ac:dyDescent="0.2">
      <c r="Y75" t="s">
        <v>83</v>
      </c>
      <c r="Z75">
        <v>69</v>
      </c>
      <c r="AA75">
        <v>55</v>
      </c>
      <c r="AB75">
        <v>45</v>
      </c>
      <c r="AC75">
        <v>50</v>
      </c>
      <c r="AD75">
        <v>51</v>
      </c>
      <c r="AE75">
        <v>34</v>
      </c>
    </row>
    <row r="76" spans="25:31" x14ac:dyDescent="0.2">
      <c r="Y76" t="s">
        <v>80</v>
      </c>
      <c r="Z76">
        <v>58</v>
      </c>
      <c r="AA76">
        <v>50</v>
      </c>
      <c r="AB76">
        <v>35</v>
      </c>
      <c r="AC76">
        <v>40</v>
      </c>
      <c r="AD76">
        <v>45</v>
      </c>
      <c r="AE76">
        <v>20</v>
      </c>
    </row>
    <row r="77" spans="25:31" x14ac:dyDescent="0.2">
      <c r="Y77" t="s">
        <v>81</v>
      </c>
      <c r="Z77">
        <v>61</v>
      </c>
      <c r="AA77">
        <v>55</v>
      </c>
      <c r="AB77">
        <v>40</v>
      </c>
      <c r="AC77">
        <v>45</v>
      </c>
      <c r="AD77">
        <v>50</v>
      </c>
      <c r="AE77">
        <v>25</v>
      </c>
    </row>
    <row r="78" spans="25:31" x14ac:dyDescent="0.2">
      <c r="Y78" t="s">
        <v>82</v>
      </c>
      <c r="Z78">
        <v>63</v>
      </c>
      <c r="AA78">
        <v>55</v>
      </c>
      <c r="AB78">
        <v>40</v>
      </c>
      <c r="AC78">
        <v>45</v>
      </c>
      <c r="AD78">
        <v>50</v>
      </c>
      <c r="AE78">
        <v>20</v>
      </c>
    </row>
    <row r="79" spans="25:31" x14ac:dyDescent="0.2">
      <c r="Y79" t="s">
        <v>83</v>
      </c>
      <c r="Z79">
        <v>60</v>
      </c>
      <c r="AA79">
        <v>50</v>
      </c>
      <c r="AB79">
        <v>35</v>
      </c>
      <c r="AC79">
        <v>42</v>
      </c>
      <c r="AD79">
        <v>48</v>
      </c>
      <c r="AE79">
        <v>25</v>
      </c>
    </row>
    <row r="80" spans="25:31" x14ac:dyDescent="0.2">
      <c r="Y80" t="s">
        <v>80</v>
      </c>
      <c r="Z80">
        <v>80</v>
      </c>
      <c r="AA80">
        <v>70</v>
      </c>
      <c r="AB80">
        <v>52</v>
      </c>
      <c r="AC80">
        <v>55</v>
      </c>
      <c r="AD80">
        <v>55</v>
      </c>
      <c r="AE80">
        <v>40</v>
      </c>
    </row>
    <row r="81" spans="25:31" x14ac:dyDescent="0.2">
      <c r="Y81" t="s">
        <v>81</v>
      </c>
      <c r="Z81">
        <v>70</v>
      </c>
      <c r="AA81">
        <v>65</v>
      </c>
      <c r="AB81">
        <v>52</v>
      </c>
      <c r="AC81">
        <v>55</v>
      </c>
      <c r="AD81">
        <v>55</v>
      </c>
      <c r="AE81">
        <v>45</v>
      </c>
    </row>
    <row r="82" spans="25:31" x14ac:dyDescent="0.2">
      <c r="Y82" t="s">
        <v>82</v>
      </c>
      <c r="Z82">
        <v>70</v>
      </c>
      <c r="AA82">
        <v>60</v>
      </c>
      <c r="AB82">
        <v>52</v>
      </c>
      <c r="AC82">
        <v>55</v>
      </c>
      <c r="AD82">
        <v>55</v>
      </c>
      <c r="AE82">
        <v>20</v>
      </c>
    </row>
    <row r="83" spans="25:31" x14ac:dyDescent="0.2">
      <c r="Y83" t="s">
        <v>83</v>
      </c>
      <c r="Z83">
        <v>70</v>
      </c>
      <c r="AA83">
        <v>60</v>
      </c>
      <c r="AB83">
        <v>52</v>
      </c>
      <c r="AC83">
        <v>55</v>
      </c>
      <c r="AD83">
        <v>55</v>
      </c>
      <c r="AE83">
        <v>30</v>
      </c>
    </row>
    <row r="84" spans="25:31" x14ac:dyDescent="0.2">
      <c r="Y84" t="s">
        <v>80</v>
      </c>
      <c r="Z84">
        <v>90</v>
      </c>
      <c r="AA84">
        <v>55</v>
      </c>
      <c r="AB84">
        <v>45</v>
      </c>
      <c r="AC84">
        <v>50</v>
      </c>
      <c r="AD84">
        <v>50</v>
      </c>
      <c r="AE84">
        <v>14</v>
      </c>
    </row>
    <row r="85" spans="25:31" x14ac:dyDescent="0.2">
      <c r="Y85" t="s">
        <v>81</v>
      </c>
      <c r="Z85">
        <v>90</v>
      </c>
      <c r="AA85">
        <v>55</v>
      </c>
      <c r="AB85">
        <v>45</v>
      </c>
      <c r="AC85">
        <v>50</v>
      </c>
      <c r="AD85">
        <v>50</v>
      </c>
      <c r="AE85">
        <v>24</v>
      </c>
    </row>
    <row r="86" spans="25:31" x14ac:dyDescent="0.2">
      <c r="Y86" t="s">
        <v>82</v>
      </c>
      <c r="Z86">
        <v>75</v>
      </c>
      <c r="AA86">
        <v>50</v>
      </c>
      <c r="AB86">
        <v>45</v>
      </c>
      <c r="AC86">
        <v>50</v>
      </c>
      <c r="AD86">
        <v>50</v>
      </c>
      <c r="AE86">
        <v>36</v>
      </c>
    </row>
    <row r="87" spans="25:31" x14ac:dyDescent="0.2">
      <c r="Y87" t="s">
        <v>83</v>
      </c>
      <c r="Z87">
        <v>75</v>
      </c>
      <c r="AA87">
        <v>45</v>
      </c>
      <c r="AB87">
        <v>50</v>
      </c>
      <c r="AC87">
        <v>55</v>
      </c>
      <c r="AD87">
        <v>50</v>
      </c>
      <c r="AE87">
        <v>42</v>
      </c>
    </row>
    <row r="88" spans="25:31" x14ac:dyDescent="0.2">
      <c r="Y88" t="s">
        <v>80</v>
      </c>
      <c r="Z88">
        <v>70</v>
      </c>
      <c r="AA88">
        <v>60</v>
      </c>
      <c r="AB88">
        <v>50</v>
      </c>
      <c r="AC88">
        <v>55</v>
      </c>
      <c r="AD88">
        <v>50</v>
      </c>
      <c r="AE88">
        <v>22</v>
      </c>
    </row>
    <row r="89" spans="25:31" x14ac:dyDescent="0.2">
      <c r="Y89" t="s">
        <v>81</v>
      </c>
      <c r="Z89">
        <v>65</v>
      </c>
      <c r="AA89">
        <v>55</v>
      </c>
      <c r="AB89">
        <v>45</v>
      </c>
      <c r="AC89">
        <v>50</v>
      </c>
      <c r="AD89">
        <v>50</v>
      </c>
      <c r="AE89">
        <v>28</v>
      </c>
    </row>
    <row r="90" spans="25:31" x14ac:dyDescent="0.2">
      <c r="Y90" t="s">
        <v>82</v>
      </c>
      <c r="Z90">
        <v>65</v>
      </c>
      <c r="AA90">
        <v>52</v>
      </c>
      <c r="AB90">
        <v>43</v>
      </c>
      <c r="AC90">
        <v>48</v>
      </c>
      <c r="AD90">
        <v>50</v>
      </c>
      <c r="AE90">
        <v>33</v>
      </c>
    </row>
    <row r="91" spans="25:31" x14ac:dyDescent="0.2">
      <c r="Y91" t="s">
        <v>83</v>
      </c>
      <c r="Z91">
        <v>60</v>
      </c>
      <c r="AA91">
        <v>50</v>
      </c>
      <c r="AB91">
        <v>40</v>
      </c>
      <c r="AC91">
        <v>45</v>
      </c>
      <c r="AD91">
        <v>50</v>
      </c>
      <c r="AE91">
        <v>35</v>
      </c>
    </row>
    <row r="92" spans="25:31" x14ac:dyDescent="0.2">
      <c r="Y92" t="s">
        <v>80</v>
      </c>
      <c r="Z92">
        <v>75</v>
      </c>
      <c r="AA92">
        <v>60</v>
      </c>
      <c r="AB92">
        <v>50</v>
      </c>
      <c r="AC92">
        <v>55</v>
      </c>
      <c r="AD92">
        <v>55</v>
      </c>
      <c r="AE92">
        <v>30</v>
      </c>
    </row>
    <row r="93" spans="25:31" x14ac:dyDescent="0.2">
      <c r="Y93" t="s">
        <v>81</v>
      </c>
      <c r="Z93">
        <v>65</v>
      </c>
      <c r="AA93">
        <v>55</v>
      </c>
      <c r="AB93">
        <v>45</v>
      </c>
      <c r="AC93">
        <v>50</v>
      </c>
      <c r="AD93">
        <v>50</v>
      </c>
      <c r="AE93">
        <v>30</v>
      </c>
    </row>
    <row r="94" spans="25:31" x14ac:dyDescent="0.2">
      <c r="Y94" t="s">
        <v>82</v>
      </c>
      <c r="Z94">
        <v>65</v>
      </c>
      <c r="AA94">
        <v>48</v>
      </c>
      <c r="AB94">
        <v>40</v>
      </c>
      <c r="AC94">
        <v>45</v>
      </c>
      <c r="AD94">
        <v>45</v>
      </c>
      <c r="AE94">
        <v>10</v>
      </c>
    </row>
    <row r="95" spans="25:31" x14ac:dyDescent="0.2">
      <c r="Y95" t="s">
        <v>83</v>
      </c>
      <c r="Z95">
        <v>65</v>
      </c>
      <c r="AA95">
        <v>48</v>
      </c>
      <c r="AB95">
        <v>45</v>
      </c>
      <c r="AC95">
        <v>50</v>
      </c>
      <c r="AD95">
        <v>50</v>
      </c>
      <c r="AE95">
        <v>20</v>
      </c>
    </row>
  </sheetData>
  <pageMargins left="0.7" right="0.7" top="0.75" bottom="0.75" header="0.3" footer="0.3"/>
  <ignoredErrors>
    <ignoredError sqref="E2:T10 H11 K11 M11 O11:T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3.4.1.1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2026-04-30T11:19:49Z</dcterms:created>
  <dcterms:modified xsi:type="dcterms:W3CDTF">2026-05-01T01:27:54Z</dcterms:modified>
</cp:coreProperties>
</file>