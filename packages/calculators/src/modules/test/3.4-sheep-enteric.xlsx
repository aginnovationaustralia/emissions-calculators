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1D753D7A-07C6-4342-9D2D-5A7E28B713C7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3.4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1" l="1"/>
  <c r="P13" i="1"/>
  <c r="P14" i="1"/>
  <c r="P15" i="1"/>
  <c r="P16" i="1"/>
  <c r="P17" i="1"/>
  <c r="P18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12" i="1"/>
  <c r="P11" i="1"/>
  <c r="G21" i="1"/>
  <c r="G22" i="1"/>
  <c r="R22" i="1" s="1"/>
  <c r="G23" i="1"/>
  <c r="G20" i="1"/>
  <c r="R20" i="1" s="1"/>
  <c r="G19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R24" i="1"/>
  <c r="R25" i="1"/>
  <c r="R26" i="1"/>
  <c r="R21" i="1"/>
  <c r="Q11" i="1" l="1"/>
  <c r="O32" i="1"/>
  <c r="O33" i="1"/>
  <c r="O34" i="1"/>
  <c r="O31" i="1"/>
  <c r="O28" i="1"/>
  <c r="O29" i="1"/>
  <c r="O30" i="1"/>
  <c r="O27" i="1"/>
  <c r="O24" i="1"/>
  <c r="O25" i="1"/>
  <c r="O26" i="1"/>
  <c r="O23" i="1"/>
  <c r="O20" i="1"/>
  <c r="O21" i="1"/>
  <c r="O22" i="1"/>
  <c r="O19" i="1"/>
  <c r="O16" i="1"/>
  <c r="O17" i="1"/>
  <c r="O18" i="1"/>
  <c r="O15" i="1"/>
  <c r="O12" i="1"/>
  <c r="O13" i="1"/>
  <c r="O14" i="1"/>
  <c r="O11" i="1"/>
  <c r="M17" i="1"/>
  <c r="M18" i="1"/>
  <c r="M20" i="1"/>
  <c r="M21" i="1"/>
  <c r="S21" i="1" s="1"/>
  <c r="U21" i="1" s="1"/>
  <c r="W21" i="1" s="1"/>
  <c r="M29" i="1"/>
  <c r="M30" i="1"/>
  <c r="L34" i="1"/>
  <c r="M34" i="1" s="1"/>
  <c r="L33" i="1"/>
  <c r="M33" i="1" s="1"/>
  <c r="L32" i="1"/>
  <c r="M32" i="1" s="1"/>
  <c r="S32" i="1" s="1"/>
  <c r="U32" i="1" s="1"/>
  <c r="W32" i="1" s="1"/>
  <c r="L30" i="1"/>
  <c r="L29" i="1"/>
  <c r="L28" i="1"/>
  <c r="M28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L20" i="1"/>
  <c r="L18" i="1"/>
  <c r="L17" i="1"/>
  <c r="L16" i="1"/>
  <c r="M16" i="1" s="1"/>
  <c r="L14" i="1"/>
  <c r="M14" i="1" s="1"/>
  <c r="L13" i="1"/>
  <c r="M13" i="1" s="1"/>
  <c r="L12" i="1"/>
  <c r="M12" i="1" s="1"/>
  <c r="L31" i="1"/>
  <c r="M31" i="1" s="1"/>
  <c r="L27" i="1"/>
  <c r="M27" i="1" s="1"/>
  <c r="L19" i="1"/>
  <c r="M19" i="1" s="1"/>
  <c r="L15" i="1"/>
  <c r="M15" i="1" s="1"/>
  <c r="L11" i="1"/>
  <c r="J34" i="1"/>
  <c r="Q34" i="1" s="1"/>
  <c r="J33" i="1"/>
  <c r="Q33" i="1" s="1"/>
  <c r="J32" i="1"/>
  <c r="Q32" i="1" s="1"/>
  <c r="J31" i="1"/>
  <c r="Q31" i="1" s="1"/>
  <c r="J30" i="1"/>
  <c r="Q30" i="1" s="1"/>
  <c r="J29" i="1"/>
  <c r="Q29" i="1" s="1"/>
  <c r="J28" i="1"/>
  <c r="Q28" i="1" s="1"/>
  <c r="J27" i="1"/>
  <c r="Q27" i="1" s="1"/>
  <c r="J26" i="1"/>
  <c r="Q26" i="1" s="1"/>
  <c r="J25" i="1"/>
  <c r="Q25" i="1" s="1"/>
  <c r="J24" i="1"/>
  <c r="Q24" i="1" s="1"/>
  <c r="J23" i="1"/>
  <c r="Q23" i="1" s="1"/>
  <c r="J22" i="1"/>
  <c r="Q22" i="1" s="1"/>
  <c r="J21" i="1"/>
  <c r="Q21" i="1" s="1"/>
  <c r="J20" i="1"/>
  <c r="Q20" i="1" s="1"/>
  <c r="J19" i="1"/>
  <c r="Q19" i="1" s="1"/>
  <c r="J18" i="1"/>
  <c r="Q18" i="1" s="1"/>
  <c r="J17" i="1"/>
  <c r="Q17" i="1" s="1"/>
  <c r="J16" i="1"/>
  <c r="Q16" i="1" s="1"/>
  <c r="J15" i="1"/>
  <c r="Q15" i="1" s="1"/>
  <c r="J14" i="1"/>
  <c r="Q14" i="1" s="1"/>
  <c r="J13" i="1"/>
  <c r="Q13" i="1" s="1"/>
  <c r="J12" i="1"/>
  <c r="Q12" i="1" s="1"/>
  <c r="J11" i="1"/>
  <c r="H23" i="1"/>
  <c r="R23" i="1" s="1"/>
  <c r="H19" i="1"/>
  <c r="R19" i="1" s="1"/>
  <c r="S31" i="1" l="1"/>
  <c r="U31" i="1" s="1"/>
  <c r="W31" i="1" s="1"/>
  <c r="S29" i="1"/>
  <c r="U29" i="1" s="1"/>
  <c r="W29" i="1" s="1"/>
  <c r="S30" i="1"/>
  <c r="U30" i="1" s="1"/>
  <c r="W30" i="1" s="1"/>
  <c r="S16" i="1"/>
  <c r="U16" i="1" s="1"/>
  <c r="W16" i="1" s="1"/>
  <c r="S33" i="1"/>
  <c r="U33" i="1" s="1"/>
  <c r="W33" i="1" s="1"/>
  <c r="S15" i="1"/>
  <c r="U15" i="1" s="1"/>
  <c r="W15" i="1" s="1"/>
  <c r="S22" i="1"/>
  <c r="U22" i="1" s="1"/>
  <c r="W22" i="1" s="1"/>
  <c r="S18" i="1"/>
  <c r="U18" i="1" s="1"/>
  <c r="W18" i="1" s="1"/>
  <c r="S17" i="1"/>
  <c r="U17" i="1" s="1"/>
  <c r="W17" i="1" s="1"/>
  <c r="S34" i="1"/>
  <c r="U34" i="1" s="1"/>
  <c r="W34" i="1" s="1"/>
  <c r="S27" i="1"/>
  <c r="U27" i="1" s="1"/>
  <c r="W27" i="1" s="1"/>
  <c r="S20" i="1"/>
  <c r="U20" i="1" s="1"/>
  <c r="W20" i="1" s="1"/>
  <c r="S24" i="1"/>
  <c r="U24" i="1" s="1"/>
  <c r="W24" i="1" s="1"/>
  <c r="S25" i="1"/>
  <c r="U25" i="1" s="1"/>
  <c r="W25" i="1" s="1"/>
  <c r="S26" i="1"/>
  <c r="U26" i="1" s="1"/>
  <c r="W26" i="1" s="1"/>
  <c r="S13" i="1"/>
  <c r="U13" i="1" s="1"/>
  <c r="W13" i="1" s="1"/>
  <c r="S19" i="1"/>
  <c r="U19" i="1" s="1"/>
  <c r="W19" i="1" s="1"/>
  <c r="S12" i="1"/>
  <c r="U12" i="1" s="1"/>
  <c r="W12" i="1" s="1"/>
  <c r="S28" i="1"/>
  <c r="U28" i="1" s="1"/>
  <c r="W28" i="1" s="1"/>
  <c r="S14" i="1"/>
  <c r="U14" i="1" s="1"/>
  <c r="W14" i="1" s="1"/>
  <c r="S23" i="1"/>
  <c r="U23" i="1" s="1"/>
  <c r="W23" i="1" s="1"/>
  <c r="M11" i="1"/>
  <c r="S11" i="1" l="1"/>
  <c r="U11" i="1" s="1"/>
  <c r="W11" i="1" s="1"/>
  <c r="X11" i="1" s="1"/>
</calcChain>
</file>

<file path=xl/sharedStrings.xml><?xml version="1.0" encoding="utf-8"?>
<sst xmlns="http://schemas.openxmlformats.org/spreadsheetml/2006/main" count="237" uniqueCount="98">
  <si>
    <t>(LRjk=3,4 * min( LMRjk=3,4  100)) / 100</t>
  </si>
  <si>
    <t>(0.795 * DMDjk) - 0.0014</t>
  </si>
  <si>
    <t>(104.7 * qmjk + 0.307 * Wjk- 15) * Wjk * 10^-3</t>
  </si>
  <si>
    <t>1 - e ^ -2( DMAjk ) ^ 2</t>
  </si>
  <si>
    <t>(LEjk=3,4 * FAk=3,4) + (1 - LEjk=3,4)</t>
  </si>
  <si>
    <t>PIjk * RIjk * MAjk=3,4</t>
  </si>
  <si>
    <t>(Ijk * 0.0188) + 0.00158</t>
  </si>
  <si>
    <t>SUM SUM (Njk * Mijk * Dj) * 10^-3</t>
  </si>
  <si>
    <t>342</t>
  </si>
  <si>
    <t>344</t>
  </si>
  <si>
    <t>321</t>
  </si>
  <si>
    <t>351</t>
  </si>
  <si>
    <t>349</t>
  </si>
  <si>
    <t>348</t>
  </si>
  <si>
    <t>302</t>
  </si>
  <si>
    <t>347</t>
  </si>
  <si>
    <t>296</t>
  </si>
  <si>
    <t>308</t>
  </si>
  <si>
    <t>314</t>
  </si>
  <si>
    <t>291</t>
  </si>
  <si>
    <t>341</t>
  </si>
  <si>
    <t>288</t>
  </si>
  <si>
    <t>346</t>
  </si>
  <si>
    <t>281</t>
  </si>
  <si>
    <t>input</t>
  </si>
  <si>
    <t>expression</t>
  </si>
  <si>
    <t>constant</t>
  </si>
  <si>
    <t/>
  </si>
  <si>
    <t>percent</t>
  </si>
  <si>
    <t>fraction</t>
  </si>
  <si>
    <t>t / ha</t>
  </si>
  <si>
    <t>d</t>
  </si>
  <si>
    <t>kg</t>
  </si>
  <si>
    <t>kg DM/head/day</t>
  </si>
  <si>
    <t>head</t>
  </si>
  <si>
    <t>kg CH4/head/day</t>
  </si>
  <si>
    <t>days</t>
  </si>
  <si>
    <t>t CH4</t>
  </si>
  <si>
    <t>Lamb rate of ewes and maidens</t>
  </si>
  <si>
    <t>Lamb marking rate per ewe mated</t>
  </si>
  <si>
    <t>Proportion of ewes and maidens lactating</t>
  </si>
  <si>
    <t>feed adjustment value</t>
  </si>
  <si>
    <t>Dry matter availability</t>
  </si>
  <si>
    <t>Dry matter digestibility</t>
  </si>
  <si>
    <t>metabolizability of the diet</t>
  </si>
  <si>
    <t>liveweight</t>
  </si>
  <si>
    <t>Potential intake</t>
  </si>
  <si>
    <t>Relative intake</t>
  </si>
  <si>
    <t>Additional intake for milk production</t>
  </si>
  <si>
    <t>Daily feed intake</t>
  </si>
  <si>
    <t>Number of sheep</t>
  </si>
  <si>
    <t>Daily methane production</t>
  </si>
  <si>
    <t>Days in each time period</t>
  </si>
  <si>
    <t>Total annual methane production</t>
  </si>
  <si>
    <t>LRjk=3,4</t>
  </si>
  <si>
    <t>LMRjk=3,4</t>
  </si>
  <si>
    <t>LEjk=3,4</t>
  </si>
  <si>
    <t>FAk=3,4</t>
  </si>
  <si>
    <t>DMAjk</t>
  </si>
  <si>
    <t>DMDjk</t>
  </si>
  <si>
    <t>qmjk</t>
  </si>
  <si>
    <t>Wjk</t>
  </si>
  <si>
    <t>PIjk</t>
  </si>
  <si>
    <t>RIjk</t>
  </si>
  <si>
    <t>MAjk=3,4</t>
  </si>
  <si>
    <t>Ijk</t>
  </si>
  <si>
    <t>Njk</t>
  </si>
  <si>
    <t>Mijk</t>
  </si>
  <si>
    <t>Dj</t>
  </si>
  <si>
    <t>Eenteric</t>
  </si>
  <si>
    <t>Scenario</t>
  </si>
  <si>
    <t>Class</t>
  </si>
  <si>
    <t>Rams</t>
  </si>
  <si>
    <t>Wethers</t>
  </si>
  <si>
    <t>Maiden ewes</t>
  </si>
  <si>
    <t>Breeding ewes</t>
  </si>
  <si>
    <t>Other ewes</t>
  </si>
  <si>
    <t>Lambs and hoggets</t>
  </si>
  <si>
    <t>Baseline</t>
  </si>
  <si>
    <t>Season</t>
  </si>
  <si>
    <t>Spring</t>
  </si>
  <si>
    <t>Summer</t>
  </si>
  <si>
    <t>Autumn</t>
  </si>
  <si>
    <t>Winter</t>
  </si>
  <si>
    <t>A.1.4.3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</si>
  <si>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</si>
  <si>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</si>
  <si>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</si>
  <si>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</si>
  <si>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</si>
  <si>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</si>
  <si>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</si>
  <si>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A.1.4.2</t>
  </si>
  <si>
    <t>DMD</t>
  </si>
  <si>
    <t>A.1.4.1</t>
  </si>
  <si>
    <t>Custom Wjk</t>
  </si>
  <si>
    <t>Custom DMA</t>
  </si>
  <si>
    <t>Custom DMD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</si>
</sst>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95"/>
  <sheetViews>
    <sheetView tabSelected="1" topLeftCell="P10" workbookViewId="0">
      <selection activeCell="AB71" sqref="AB71:AH95"/>
    </sheetView>
  </sheetViews>
  <sheetFormatPr baseColWidth="10" defaultRowHeight="16" x14ac:dyDescent="0.2"/>
  <sheetData>
    <row r="2" spans="1:34" x14ac:dyDescent="0.2">
      <c r="G2" t="s">
        <v>0</v>
      </c>
      <c r="M2" t="s">
        <v>1</v>
      </c>
      <c r="P2" t="s">
        <v>2</v>
      </c>
      <c r="Q2" t="s">
        <v>3</v>
      </c>
      <c r="R2" t="s">
        <v>4</v>
      </c>
      <c r="S2" t="s">
        <v>5</v>
      </c>
      <c r="U2" t="s">
        <v>6</v>
      </c>
      <c r="W2" t="s">
        <v>7</v>
      </c>
    </row>
    <row r="3" spans="1:34" x14ac:dyDescent="0.2">
      <c r="E3" t="s">
        <v>8</v>
      </c>
      <c r="F3" t="s">
        <v>9</v>
      </c>
      <c r="G3" t="s">
        <v>10</v>
      </c>
      <c r="H3" t="s">
        <v>11</v>
      </c>
      <c r="J3" t="s">
        <v>12</v>
      </c>
      <c r="L3" t="s">
        <v>13</v>
      </c>
      <c r="M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t="s">
        <v>23</v>
      </c>
      <c r="AA3">
        <v>351</v>
      </c>
      <c r="AB3" t="s">
        <v>57</v>
      </c>
      <c r="AC3">
        <v>1.3</v>
      </c>
    </row>
    <row r="4" spans="1:34" x14ac:dyDescent="0.2">
      <c r="E4" t="s">
        <v>24</v>
      </c>
      <c r="F4" t="s">
        <v>24</v>
      </c>
      <c r="G4" t="s">
        <v>25</v>
      </c>
      <c r="H4" t="s">
        <v>26</v>
      </c>
      <c r="J4" t="s">
        <v>26</v>
      </c>
      <c r="L4" t="s">
        <v>26</v>
      </c>
      <c r="M4" t="s">
        <v>25</v>
      </c>
      <c r="O4" t="s">
        <v>26</v>
      </c>
      <c r="P4" t="s">
        <v>25</v>
      </c>
      <c r="Q4" t="s">
        <v>25</v>
      </c>
      <c r="R4" t="s">
        <v>25</v>
      </c>
      <c r="S4" t="s">
        <v>25</v>
      </c>
      <c r="T4" t="s">
        <v>24</v>
      </c>
      <c r="U4" t="s">
        <v>25</v>
      </c>
      <c r="V4" t="s">
        <v>26</v>
      </c>
      <c r="W4" t="s">
        <v>25</v>
      </c>
      <c r="AA4">
        <v>346</v>
      </c>
      <c r="AB4" t="s">
        <v>68</v>
      </c>
      <c r="AC4">
        <v>91.25</v>
      </c>
    </row>
    <row r="5" spans="1:34" x14ac:dyDescent="0.2">
      <c r="E5" t="s">
        <v>27</v>
      </c>
      <c r="F5" t="s">
        <v>27</v>
      </c>
      <c r="G5" t="s">
        <v>27</v>
      </c>
      <c r="H5" t="s">
        <v>27</v>
      </c>
      <c r="J5" t="s">
        <v>24</v>
      </c>
      <c r="L5" t="s">
        <v>24</v>
      </c>
      <c r="M5" t="s">
        <v>27</v>
      </c>
      <c r="O5" t="s">
        <v>24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24</v>
      </c>
      <c r="W5" t="s">
        <v>27</v>
      </c>
    </row>
    <row r="8" spans="1:34" x14ac:dyDescent="0.2">
      <c r="E8" t="s">
        <v>28</v>
      </c>
      <c r="F8" t="s">
        <v>28</v>
      </c>
      <c r="G8" t="s">
        <v>29</v>
      </c>
      <c r="H8" t="s">
        <v>29</v>
      </c>
      <c r="J8" t="s">
        <v>30</v>
      </c>
      <c r="L8" t="s">
        <v>28</v>
      </c>
      <c r="M8" t="s">
        <v>31</v>
      </c>
      <c r="O8" t="s">
        <v>32</v>
      </c>
      <c r="P8" t="s">
        <v>33</v>
      </c>
      <c r="Q8" t="s">
        <v>31</v>
      </c>
      <c r="R8" t="s">
        <v>31</v>
      </c>
      <c r="S8" t="s">
        <v>33</v>
      </c>
      <c r="T8" t="s">
        <v>34</v>
      </c>
      <c r="U8" t="s">
        <v>35</v>
      </c>
      <c r="V8" t="s">
        <v>36</v>
      </c>
      <c r="W8" t="s">
        <v>37</v>
      </c>
      <c r="X8" t="s">
        <v>37</v>
      </c>
    </row>
    <row r="9" spans="1:34" x14ac:dyDescent="0.2">
      <c r="E9" t="s">
        <v>38</v>
      </c>
      <c r="F9" t="s">
        <v>39</v>
      </c>
      <c r="G9" t="s">
        <v>40</v>
      </c>
      <c r="H9" t="s">
        <v>41</v>
      </c>
      <c r="J9" t="s">
        <v>42</v>
      </c>
      <c r="L9" t="s">
        <v>43</v>
      </c>
      <c r="M9" t="s">
        <v>44</v>
      </c>
      <c r="O9" t="s">
        <v>45</v>
      </c>
      <c r="P9" t="s">
        <v>46</v>
      </c>
      <c r="Q9" t="s">
        <v>47</v>
      </c>
      <c r="R9" t="s">
        <v>48</v>
      </c>
      <c r="S9" t="s">
        <v>49</v>
      </c>
      <c r="T9" t="s">
        <v>50</v>
      </c>
      <c r="U9" t="s">
        <v>51</v>
      </c>
      <c r="V9" t="s">
        <v>52</v>
      </c>
      <c r="W9" t="s">
        <v>53</v>
      </c>
    </row>
    <row r="10" spans="1:34" x14ac:dyDescent="0.2">
      <c r="A10" t="s">
        <v>70</v>
      </c>
      <c r="B10" t="s">
        <v>91</v>
      </c>
      <c r="C10" t="s">
        <v>71</v>
      </c>
      <c r="D10" t="s">
        <v>79</v>
      </c>
      <c r="E10" s="2" t="s">
        <v>54</v>
      </c>
      <c r="F10" s="2" t="s">
        <v>55</v>
      </c>
      <c r="G10" t="s">
        <v>56</v>
      </c>
      <c r="H10" t="s">
        <v>57</v>
      </c>
      <c r="I10" t="s">
        <v>96</v>
      </c>
      <c r="J10" t="s">
        <v>58</v>
      </c>
      <c r="K10" t="s">
        <v>97</v>
      </c>
      <c r="L10" t="s">
        <v>59</v>
      </c>
      <c r="M10" t="s">
        <v>60</v>
      </c>
      <c r="N10" t="s">
        <v>95</v>
      </c>
      <c r="O10" t="s">
        <v>61</v>
      </c>
      <c r="P10" t="s">
        <v>62</v>
      </c>
      <c r="Q10" t="s">
        <v>63</v>
      </c>
      <c r="R10" t="s">
        <v>64</v>
      </c>
      <c r="S10" t="s">
        <v>65</v>
      </c>
      <c r="T10" s="2" t="s">
        <v>66</v>
      </c>
      <c r="U10" t="s">
        <v>67</v>
      </c>
      <c r="V10" t="s">
        <v>68</v>
      </c>
      <c r="W10" t="s">
        <v>69</v>
      </c>
      <c r="X10" s="1" t="s">
        <v>69</v>
      </c>
    </row>
    <row r="11" spans="1:34" x14ac:dyDescent="0.2">
      <c r="A11" t="s">
        <v>78</v>
      </c>
      <c r="B11" t="s">
        <v>85</v>
      </c>
      <c r="C11" t="s">
        <v>72</v>
      </c>
      <c r="D11" t="s">
        <v>80</v>
      </c>
      <c r="E11">
        <v>0</v>
      </c>
      <c r="F11">
        <v>0</v>
      </c>
      <c r="G11">
        <v>0</v>
      </c>
      <c r="J11">
        <f>$AC$17</f>
        <v>2.9</v>
      </c>
      <c r="L11">
        <f>$AC$45</f>
        <v>0.75</v>
      </c>
      <c r="M11">
        <f>(0.795 * L11) - 0.0014</f>
        <v>0.5948500000000001</v>
      </c>
      <c r="O11">
        <f>$AC72</f>
        <v>75</v>
      </c>
      <c r="P11">
        <f>(104.7 * M11 + 0.307 * O11- 15) * POWER(O11, 0.75) * 10^-3</f>
        <v>1.7917898456122741</v>
      </c>
      <c r="Q11">
        <f>1-EXP(-2*POWER(J11,2))</f>
        <v>0.9999999504359468</v>
      </c>
      <c r="R11">
        <v>1</v>
      </c>
      <c r="S11">
        <f>P11 * Q11 * R11</f>
        <v>1.7917897568039067</v>
      </c>
      <c r="T11">
        <v>50</v>
      </c>
      <c r="U11">
        <f>(S11 * 0.0188) + 0.00158</f>
        <v>3.5265647427913445E-2</v>
      </c>
      <c r="V11">
        <f>$AC$4</f>
        <v>91.25</v>
      </c>
      <c r="W11">
        <f>T11*U11*V11</f>
        <v>160.89951638985508</v>
      </c>
      <c r="X11">
        <f>SUM(W11:W34)*10^-3</f>
        <v>3.7707328300265006</v>
      </c>
    </row>
    <row r="12" spans="1:34" x14ac:dyDescent="0.2">
      <c r="D12" t="s">
        <v>81</v>
      </c>
      <c r="E12">
        <v>0</v>
      </c>
      <c r="F12">
        <v>0</v>
      </c>
      <c r="G12">
        <v>0</v>
      </c>
      <c r="J12">
        <f>$AC$18</f>
        <v>2.5</v>
      </c>
      <c r="L12">
        <f>$AC$46</f>
        <v>0.61</v>
      </c>
      <c r="M12">
        <f t="shared" ref="M12:M34" si="0">(0.795 * L12) - 0.0014</f>
        <v>0.48354999999999998</v>
      </c>
      <c r="O12">
        <f t="shared" ref="O12:O14" si="1">$AC73</f>
        <v>75</v>
      </c>
      <c r="P12">
        <f>(104.7 * M12 + 0.307 * O12- 15) * POWER(O12, 0.75) * 10^-3</f>
        <v>1.4948026034112167</v>
      </c>
      <c r="Q12">
        <f t="shared" ref="Q12:Q34" si="2">1-EXP(-2*POWER(J12,2))</f>
        <v>0.99999627334682795</v>
      </c>
      <c r="R12">
        <v>1</v>
      </c>
      <c r="S12">
        <f t="shared" ref="S12:S34" si="3">P12 * Q12 * R12</f>
        <v>1.494797032800353</v>
      </c>
      <c r="T12">
        <v>40</v>
      </c>
      <c r="U12">
        <f t="shared" ref="U12:U34" si="4">(S12 * 0.0188) + 0.00158</f>
        <v>2.9682184216646638E-2</v>
      </c>
      <c r="V12">
        <f t="shared" ref="V12:V34" si="5">$AC$4</f>
        <v>91.25</v>
      </c>
      <c r="W12">
        <f t="shared" ref="W12:W34" si="6">T12*U12*V12</f>
        <v>108.33997239076024</v>
      </c>
    </row>
    <row r="13" spans="1:34" x14ac:dyDescent="0.2">
      <c r="D13" t="s">
        <v>82</v>
      </c>
      <c r="E13">
        <v>0</v>
      </c>
      <c r="F13">
        <v>0</v>
      </c>
      <c r="G13">
        <v>0</v>
      </c>
      <c r="J13">
        <f>$AC$19</f>
        <v>1.6</v>
      </c>
      <c r="L13">
        <f>$AC$47</f>
        <v>0.64</v>
      </c>
      <c r="M13">
        <f t="shared" si="0"/>
        <v>0.50740000000000007</v>
      </c>
      <c r="O13">
        <f t="shared" si="1"/>
        <v>69</v>
      </c>
      <c r="P13">
        <f t="shared" ref="P13:P34" si="7">(104.7 * M13 + 0.307 * O13- 15) * POWER(O13, 0.75) * 10^-3</f>
        <v>1.4198696820048529</v>
      </c>
      <c r="Q13">
        <f t="shared" si="2"/>
        <v>0.99402397710499402</v>
      </c>
      <c r="R13">
        <v>1</v>
      </c>
      <c r="S13">
        <f t="shared" si="3"/>
        <v>1.4113845082772669</v>
      </c>
      <c r="T13">
        <v>38</v>
      </c>
      <c r="U13">
        <f t="shared" si="4"/>
        <v>2.811402875561262E-2</v>
      </c>
      <c r="V13">
        <f t="shared" si="5"/>
        <v>91.25</v>
      </c>
      <c r="W13">
        <f t="shared" si="6"/>
        <v>97.485394710086752</v>
      </c>
    </row>
    <row r="14" spans="1:34" x14ac:dyDescent="0.2">
      <c r="D14" t="s">
        <v>83</v>
      </c>
      <c r="E14">
        <v>0</v>
      </c>
      <c r="F14">
        <v>0</v>
      </c>
      <c r="G14">
        <v>0</v>
      </c>
      <c r="J14">
        <f>$AC$20</f>
        <v>1.7</v>
      </c>
      <c r="L14">
        <f>$AC$48</f>
        <v>0.72</v>
      </c>
      <c r="M14">
        <f t="shared" si="0"/>
        <v>0.57100000000000006</v>
      </c>
      <c r="O14">
        <f t="shared" si="1"/>
        <v>69</v>
      </c>
      <c r="P14">
        <f t="shared" si="7"/>
        <v>1.5792888783210146</v>
      </c>
      <c r="Q14">
        <f t="shared" si="2"/>
        <v>0.99691128459176326</v>
      </c>
      <c r="R14">
        <v>1</v>
      </c>
      <c r="S14">
        <f t="shared" si="3"/>
        <v>1.5744109044284875</v>
      </c>
      <c r="T14">
        <v>50</v>
      </c>
      <c r="U14">
        <f t="shared" si="4"/>
        <v>3.1178925003255569E-2</v>
      </c>
      <c r="V14">
        <f t="shared" si="5"/>
        <v>91.25</v>
      </c>
      <c r="W14">
        <f t="shared" si="6"/>
        <v>142.25384532735353</v>
      </c>
      <c r="AB14" t="s">
        <v>84</v>
      </c>
    </row>
    <row r="15" spans="1:34" x14ac:dyDescent="0.2">
      <c r="A15">
        <v>2</v>
      </c>
      <c r="C15" t="s">
        <v>73</v>
      </c>
      <c r="D15" t="s">
        <v>80</v>
      </c>
      <c r="E15">
        <v>0</v>
      </c>
      <c r="F15">
        <v>0</v>
      </c>
      <c r="G15">
        <v>0</v>
      </c>
      <c r="J15">
        <f>$AD$17</f>
        <v>2.9</v>
      </c>
      <c r="L15">
        <f>$AD$45</f>
        <v>0.75</v>
      </c>
      <c r="M15">
        <f t="shared" si="0"/>
        <v>0.5948500000000001</v>
      </c>
      <c r="O15">
        <f>$AD72</f>
        <v>62</v>
      </c>
      <c r="P15">
        <f t="shared" si="7"/>
        <v>1.4652245899459331</v>
      </c>
      <c r="Q15">
        <f t="shared" si="2"/>
        <v>0.9999999504359468</v>
      </c>
      <c r="R15">
        <v>1</v>
      </c>
      <c r="S15">
        <f t="shared" si="3"/>
        <v>1.4652245173234635</v>
      </c>
      <c r="T15">
        <v>100</v>
      </c>
      <c r="U15">
        <f t="shared" si="4"/>
        <v>2.9126220925681116E-2</v>
      </c>
      <c r="V15">
        <f t="shared" si="5"/>
        <v>91.25</v>
      </c>
      <c r="W15">
        <f t="shared" si="6"/>
        <v>265.77676594684021</v>
      </c>
      <c r="AB15" t="s">
        <v>58</v>
      </c>
    </row>
    <row r="16" spans="1:34" x14ac:dyDescent="0.2">
      <c r="D16" t="s">
        <v>81</v>
      </c>
      <c r="E16">
        <v>0</v>
      </c>
      <c r="F16">
        <v>0</v>
      </c>
      <c r="G16">
        <v>0</v>
      </c>
      <c r="J16">
        <f>$AD$18</f>
        <v>2.5</v>
      </c>
      <c r="L16">
        <f>$AD$46</f>
        <v>0.61</v>
      </c>
      <c r="M16">
        <f t="shared" si="0"/>
        <v>0.48354999999999998</v>
      </c>
      <c r="O16">
        <f t="shared" ref="O16:O18" si="8">$AD73</f>
        <v>55</v>
      </c>
      <c r="P16">
        <f t="shared" si="7"/>
        <v>1.0605624381175847</v>
      </c>
      <c r="Q16">
        <f t="shared" si="2"/>
        <v>0.99999627334682795</v>
      </c>
      <c r="R16">
        <v>1</v>
      </c>
      <c r="S16">
        <f t="shared" si="3"/>
        <v>1.0605584857692105</v>
      </c>
      <c r="T16">
        <v>120</v>
      </c>
      <c r="U16">
        <f t="shared" si="4"/>
        <v>2.1518499532461158E-2</v>
      </c>
      <c r="V16">
        <f t="shared" si="5"/>
        <v>91.25</v>
      </c>
      <c r="W16">
        <f t="shared" si="6"/>
        <v>235.6275698804497</v>
      </c>
      <c r="AC16" t="s">
        <v>72</v>
      </c>
      <c r="AD16" t="s">
        <v>73</v>
      </c>
      <c r="AE16" t="s">
        <v>74</v>
      </c>
      <c r="AF16" t="s">
        <v>75</v>
      </c>
      <c r="AG16" t="s">
        <v>76</v>
      </c>
      <c r="AH16" t="s">
        <v>77</v>
      </c>
    </row>
    <row r="17" spans="1:34" x14ac:dyDescent="0.2">
      <c r="D17" t="s">
        <v>82</v>
      </c>
      <c r="E17">
        <v>0</v>
      </c>
      <c r="F17">
        <v>0</v>
      </c>
      <c r="G17">
        <v>0</v>
      </c>
      <c r="J17">
        <f>$AD$19</f>
        <v>1.6</v>
      </c>
      <c r="L17">
        <f>$AD$47</f>
        <v>0.64</v>
      </c>
      <c r="M17">
        <f t="shared" si="0"/>
        <v>0.50740000000000007</v>
      </c>
      <c r="O17">
        <f t="shared" si="8"/>
        <v>55</v>
      </c>
      <c r="P17">
        <f t="shared" si="7"/>
        <v>1.1109945415495692</v>
      </c>
      <c r="Q17">
        <f t="shared" si="2"/>
        <v>0.99402397710499402</v>
      </c>
      <c r="R17">
        <v>1</v>
      </c>
      <c r="S17">
        <f t="shared" si="3"/>
        <v>1.1043552127330423</v>
      </c>
      <c r="T17">
        <v>115</v>
      </c>
      <c r="U17">
        <f t="shared" si="4"/>
        <v>2.2341877999381195E-2</v>
      </c>
      <c r="V17">
        <f t="shared" si="5"/>
        <v>91.25</v>
      </c>
      <c r="W17">
        <f t="shared" si="6"/>
        <v>234.4500822560064</v>
      </c>
      <c r="AA17" t="s">
        <v>85</v>
      </c>
      <c r="AB17" t="s">
        <v>80</v>
      </c>
      <c r="AC17">
        <v>2.9</v>
      </c>
      <c r="AD17">
        <v>2.9</v>
      </c>
      <c r="AE17">
        <v>2.9</v>
      </c>
      <c r="AF17">
        <v>2.9</v>
      </c>
      <c r="AG17">
        <v>2.9</v>
      </c>
      <c r="AH17">
        <v>2.9</v>
      </c>
    </row>
    <row r="18" spans="1:34" x14ac:dyDescent="0.2">
      <c r="D18" t="s">
        <v>83</v>
      </c>
      <c r="E18">
        <v>0</v>
      </c>
      <c r="F18">
        <v>0</v>
      </c>
      <c r="G18">
        <v>0</v>
      </c>
      <c r="J18">
        <f>$AD$20</f>
        <v>1.7</v>
      </c>
      <c r="L18">
        <f>$AD$48</f>
        <v>0.72</v>
      </c>
      <c r="M18">
        <f t="shared" si="0"/>
        <v>0.57100000000000006</v>
      </c>
      <c r="O18">
        <f t="shared" si="8"/>
        <v>55</v>
      </c>
      <c r="P18">
        <f t="shared" si="7"/>
        <v>1.2454801507015281</v>
      </c>
      <c r="Q18">
        <f t="shared" si="2"/>
        <v>0.99691128459176326</v>
      </c>
      <c r="R18">
        <v>1</v>
      </c>
      <c r="S18">
        <f t="shared" si="3"/>
        <v>1.2416332169694033</v>
      </c>
      <c r="T18">
        <v>110</v>
      </c>
      <c r="U18">
        <f t="shared" si="4"/>
        <v>2.4922704479024786E-2</v>
      </c>
      <c r="V18">
        <f t="shared" si="5"/>
        <v>91.25</v>
      </c>
      <c r="W18">
        <f t="shared" si="6"/>
        <v>250.16164620821129</v>
      </c>
      <c r="AB18" t="s">
        <v>81</v>
      </c>
      <c r="AC18">
        <v>2.5</v>
      </c>
      <c r="AD18">
        <v>2.5</v>
      </c>
      <c r="AE18">
        <v>2.5</v>
      </c>
      <c r="AF18">
        <v>2.5</v>
      </c>
      <c r="AG18">
        <v>2.5</v>
      </c>
      <c r="AH18">
        <v>2.5</v>
      </c>
    </row>
    <row r="19" spans="1:34" x14ac:dyDescent="0.2">
      <c r="A19">
        <v>3</v>
      </c>
      <c r="C19" t="s">
        <v>74</v>
      </c>
      <c r="D19" t="s">
        <v>80</v>
      </c>
      <c r="E19">
        <v>90</v>
      </c>
      <c r="F19">
        <v>85</v>
      </c>
      <c r="G19">
        <f>(E19/100*MIN(F19,100)/100)</f>
        <v>0.76500000000000001</v>
      </c>
      <c r="H19">
        <f>$AC$3</f>
        <v>1.3</v>
      </c>
      <c r="J19">
        <f>$AE$17</f>
        <v>2.9</v>
      </c>
      <c r="L19">
        <f>$AE$45</f>
        <v>0.75</v>
      </c>
      <c r="M19">
        <f t="shared" si="0"/>
        <v>0.5948500000000001</v>
      </c>
      <c r="O19">
        <f>$AE72</f>
        <v>44</v>
      </c>
      <c r="P19">
        <f>(104.7 * M19 + 0.307 * O19- 15) * POWER(O19, 0.75) * 10^-3</f>
        <v>1.0385156413271623</v>
      </c>
      <c r="Q19">
        <f t="shared" si="2"/>
        <v>0.9999999504359468</v>
      </c>
      <c r="R19">
        <f>(G19 * H19) + (1 - G19)</f>
        <v>1.2295</v>
      </c>
      <c r="S19">
        <f t="shared" si="3"/>
        <v>1.2768549177256379</v>
      </c>
      <c r="T19">
        <v>120</v>
      </c>
      <c r="U19">
        <f t="shared" si="4"/>
        <v>2.5584872453241994E-2</v>
      </c>
      <c r="V19">
        <f t="shared" si="5"/>
        <v>91.25</v>
      </c>
      <c r="W19">
        <f t="shared" si="6"/>
        <v>280.15435336299987</v>
      </c>
      <c r="AB19" t="s">
        <v>82</v>
      </c>
      <c r="AC19">
        <v>1.6</v>
      </c>
      <c r="AD19">
        <v>1.6</v>
      </c>
      <c r="AE19">
        <v>1.6</v>
      </c>
      <c r="AF19">
        <v>1.6</v>
      </c>
      <c r="AG19">
        <v>1.6</v>
      </c>
      <c r="AH19">
        <v>1.6</v>
      </c>
    </row>
    <row r="20" spans="1:34" x14ac:dyDescent="0.2">
      <c r="D20" t="s">
        <v>81</v>
      </c>
      <c r="E20">
        <v>0</v>
      </c>
      <c r="F20">
        <v>0</v>
      </c>
      <c r="G20">
        <f>(E20/100*MIN(F20,100)/100)</f>
        <v>0</v>
      </c>
      <c r="J20">
        <f>$AE$18</f>
        <v>2.5</v>
      </c>
      <c r="L20">
        <f>$AE$46</f>
        <v>0.61</v>
      </c>
      <c r="M20">
        <f t="shared" si="0"/>
        <v>0.48354999999999998</v>
      </c>
      <c r="O20">
        <f t="shared" ref="O20:O22" si="9">$AE73</f>
        <v>42</v>
      </c>
      <c r="P20">
        <f t="shared" si="7"/>
        <v>0.80052120768394575</v>
      </c>
      <c r="Q20">
        <f t="shared" si="2"/>
        <v>0.99999627334682795</v>
      </c>
      <c r="R20">
        <f t="shared" ref="R20:R26" si="10">(G20 * H20) + (1 - G20)</f>
        <v>1</v>
      </c>
      <c r="S20">
        <f t="shared" si="3"/>
        <v>0.80051822441904785</v>
      </c>
      <c r="T20">
        <v>130</v>
      </c>
      <c r="U20">
        <f t="shared" si="4"/>
        <v>1.6629742619078101E-2</v>
      </c>
      <c r="V20">
        <f t="shared" si="5"/>
        <v>91.25</v>
      </c>
      <c r="W20">
        <f t="shared" si="6"/>
        <v>197.27032181881395</v>
      </c>
      <c r="AB20" t="s">
        <v>83</v>
      </c>
      <c r="AC20">
        <v>1.7</v>
      </c>
      <c r="AD20">
        <v>1.7</v>
      </c>
      <c r="AE20">
        <v>1.7</v>
      </c>
      <c r="AF20">
        <v>1.7</v>
      </c>
      <c r="AG20">
        <v>1.7</v>
      </c>
      <c r="AH20">
        <v>1.7</v>
      </c>
    </row>
    <row r="21" spans="1:34" x14ac:dyDescent="0.2">
      <c r="D21" t="s">
        <v>82</v>
      </c>
      <c r="E21">
        <v>0</v>
      </c>
      <c r="F21">
        <v>0</v>
      </c>
      <c r="G21">
        <f t="shared" ref="G21:G23" si="11">(E21/100*MIN(F21,100)/100)</f>
        <v>0</v>
      </c>
      <c r="J21">
        <f>$AE$19</f>
        <v>1.6</v>
      </c>
      <c r="L21">
        <f>$AE$47</f>
        <v>0.64</v>
      </c>
      <c r="M21">
        <f t="shared" si="0"/>
        <v>0.50740000000000007</v>
      </c>
      <c r="O21">
        <f t="shared" si="9"/>
        <v>43</v>
      </c>
      <c r="P21">
        <f t="shared" si="7"/>
        <v>0.86186034677094148</v>
      </c>
      <c r="Q21">
        <f t="shared" si="2"/>
        <v>0.99402397710499402</v>
      </c>
      <c r="R21">
        <f t="shared" si="10"/>
        <v>1</v>
      </c>
      <c r="S21">
        <f t="shared" si="3"/>
        <v>0.85670984960634056</v>
      </c>
      <c r="T21">
        <v>120</v>
      </c>
      <c r="U21">
        <f t="shared" si="4"/>
        <v>1.7686145172599206E-2</v>
      </c>
      <c r="V21">
        <f t="shared" si="5"/>
        <v>91.25</v>
      </c>
      <c r="W21">
        <f t="shared" si="6"/>
        <v>193.66328963996131</v>
      </c>
      <c r="AA21" t="s">
        <v>86</v>
      </c>
      <c r="AB21" t="s">
        <v>80</v>
      </c>
      <c r="AC21">
        <v>1.5</v>
      </c>
      <c r="AD21">
        <v>1.5</v>
      </c>
      <c r="AE21">
        <v>1.5</v>
      </c>
      <c r="AF21">
        <v>1.5</v>
      </c>
      <c r="AG21">
        <v>1.5</v>
      </c>
      <c r="AH21">
        <v>1.5</v>
      </c>
    </row>
    <row r="22" spans="1:34" x14ac:dyDescent="0.2">
      <c r="D22" t="s">
        <v>83</v>
      </c>
      <c r="E22">
        <v>0</v>
      </c>
      <c r="F22">
        <v>0</v>
      </c>
      <c r="G22">
        <f t="shared" si="11"/>
        <v>0</v>
      </c>
      <c r="J22">
        <f>$AE$20</f>
        <v>1.7</v>
      </c>
      <c r="L22">
        <f>$AE$48</f>
        <v>0.72</v>
      </c>
      <c r="M22">
        <f t="shared" si="0"/>
        <v>0.57100000000000006</v>
      </c>
      <c r="O22">
        <f t="shared" si="9"/>
        <v>45</v>
      </c>
      <c r="P22">
        <f t="shared" si="7"/>
        <v>1.0181162441707754</v>
      </c>
      <c r="Q22">
        <f t="shared" si="2"/>
        <v>0.99691128459176326</v>
      </c>
      <c r="R22">
        <f t="shared" si="10"/>
        <v>1</v>
      </c>
      <c r="S22">
        <f t="shared" si="3"/>
        <v>1.014971572840029</v>
      </c>
      <c r="T22">
        <v>110</v>
      </c>
      <c r="U22">
        <f t="shared" si="4"/>
        <v>2.0661465569392547E-2</v>
      </c>
      <c r="V22">
        <f t="shared" si="5"/>
        <v>91.25</v>
      </c>
      <c r="W22">
        <f t="shared" si="6"/>
        <v>207.3894606527777</v>
      </c>
      <c r="AB22" t="s">
        <v>81</v>
      </c>
      <c r="AC22">
        <v>2</v>
      </c>
      <c r="AD22">
        <v>2</v>
      </c>
      <c r="AE22">
        <v>2</v>
      </c>
      <c r="AF22">
        <v>2</v>
      </c>
      <c r="AG22">
        <v>2</v>
      </c>
      <c r="AH22">
        <v>2</v>
      </c>
    </row>
    <row r="23" spans="1:34" x14ac:dyDescent="0.2">
      <c r="A23">
        <v>4</v>
      </c>
      <c r="C23" t="s">
        <v>75</v>
      </c>
      <c r="D23" t="s">
        <v>80</v>
      </c>
      <c r="E23">
        <v>95</v>
      </c>
      <c r="F23">
        <v>88</v>
      </c>
      <c r="G23">
        <f t="shared" si="11"/>
        <v>0.83599999999999997</v>
      </c>
      <c r="H23">
        <f>$AC$3</f>
        <v>1.3</v>
      </c>
      <c r="J23">
        <f>$AF$17</f>
        <v>2.9</v>
      </c>
      <c r="L23">
        <f>$AF$45</f>
        <v>0.75</v>
      </c>
      <c r="M23">
        <f t="shared" si="0"/>
        <v>0.5948500000000001</v>
      </c>
      <c r="O23">
        <f>$AF72</f>
        <v>54</v>
      </c>
      <c r="P23">
        <f t="shared" si="7"/>
        <v>1.2720847291262878</v>
      </c>
      <c r="Q23">
        <f t="shared" si="2"/>
        <v>0.9999999504359468</v>
      </c>
      <c r="R23">
        <f t="shared" si="10"/>
        <v>1.2507999999999999</v>
      </c>
      <c r="S23">
        <f t="shared" si="3"/>
        <v>1.5911235003286268</v>
      </c>
      <c r="T23">
        <v>80</v>
      </c>
      <c r="U23">
        <f t="shared" si="4"/>
        <v>3.1493121806178186E-2</v>
      </c>
      <c r="V23">
        <f t="shared" si="5"/>
        <v>91.25</v>
      </c>
      <c r="W23">
        <f t="shared" si="6"/>
        <v>229.89978918510076</v>
      </c>
      <c r="AB23" t="s">
        <v>82</v>
      </c>
      <c r="AC23">
        <v>2.2000000000000002</v>
      </c>
      <c r="AD23">
        <v>2.2000000000000002</v>
      </c>
      <c r="AE23">
        <v>2.2000000000000002</v>
      </c>
      <c r="AF23">
        <v>2.2000000000000002</v>
      </c>
      <c r="AG23">
        <v>2.2000000000000002</v>
      </c>
      <c r="AH23">
        <v>2.2000000000000002</v>
      </c>
    </row>
    <row r="24" spans="1:34" x14ac:dyDescent="0.2">
      <c r="D24" t="s">
        <v>81</v>
      </c>
      <c r="E24">
        <v>0</v>
      </c>
      <c r="F24">
        <v>0</v>
      </c>
      <c r="G24">
        <v>0</v>
      </c>
      <c r="J24">
        <f>$AF$18</f>
        <v>2.5</v>
      </c>
      <c r="L24">
        <f>$AF$46</f>
        <v>0.61</v>
      </c>
      <c r="M24">
        <f t="shared" si="0"/>
        <v>0.48354999999999998</v>
      </c>
      <c r="O24">
        <f t="shared" ref="O24:O26" si="12">$AF73</f>
        <v>49</v>
      </c>
      <c r="P24">
        <f t="shared" si="7"/>
        <v>0.93843421889903578</v>
      </c>
      <c r="Q24">
        <f t="shared" si="2"/>
        <v>0.99999627334682795</v>
      </c>
      <c r="R24">
        <f t="shared" si="10"/>
        <v>1</v>
      </c>
      <c r="S24">
        <f t="shared" si="3"/>
        <v>0.93843072168017716</v>
      </c>
      <c r="T24">
        <v>90</v>
      </c>
      <c r="U24">
        <f t="shared" si="4"/>
        <v>1.9222497567587333E-2</v>
      </c>
      <c r="V24">
        <f t="shared" si="5"/>
        <v>91.25</v>
      </c>
      <c r="W24">
        <f t="shared" si="6"/>
        <v>157.86476127381098</v>
      </c>
      <c r="AB24" t="s">
        <v>83</v>
      </c>
      <c r="AC24">
        <v>1.7</v>
      </c>
      <c r="AD24">
        <v>1.7</v>
      </c>
      <c r="AE24">
        <v>1.7</v>
      </c>
      <c r="AF24">
        <v>1.7</v>
      </c>
      <c r="AG24">
        <v>1.7</v>
      </c>
      <c r="AH24">
        <v>1.7</v>
      </c>
    </row>
    <row r="25" spans="1:34" x14ac:dyDescent="0.2">
      <c r="D25" t="s">
        <v>82</v>
      </c>
      <c r="E25">
        <v>0</v>
      </c>
      <c r="F25">
        <v>0</v>
      </c>
      <c r="G25">
        <v>0</v>
      </c>
      <c r="J25">
        <f>$AF$19</f>
        <v>1.6</v>
      </c>
      <c r="L25">
        <f>$AF$47</f>
        <v>0.64</v>
      </c>
      <c r="M25">
        <f t="shared" si="0"/>
        <v>0.50740000000000007</v>
      </c>
      <c r="O25">
        <f t="shared" si="12"/>
        <v>50</v>
      </c>
      <c r="P25">
        <f t="shared" si="7"/>
        <v>1.0054871153505722</v>
      </c>
      <c r="Q25">
        <f t="shared" si="2"/>
        <v>0.99402397710499402</v>
      </c>
      <c r="R25">
        <f t="shared" si="10"/>
        <v>1</v>
      </c>
      <c r="S25">
        <f t="shared" si="3"/>
        <v>0.99947830132860371</v>
      </c>
      <c r="T25">
        <v>80</v>
      </c>
      <c r="U25">
        <f t="shared" si="4"/>
        <v>2.0370192064977751E-2</v>
      </c>
      <c r="V25">
        <f t="shared" si="5"/>
        <v>91.25</v>
      </c>
      <c r="W25">
        <f t="shared" si="6"/>
        <v>148.70240207433758</v>
      </c>
      <c r="AA25" t="s">
        <v>87</v>
      </c>
      <c r="AB25" t="s">
        <v>80</v>
      </c>
      <c r="AC25">
        <v>4</v>
      </c>
      <c r="AD25">
        <v>4</v>
      </c>
      <c r="AE25">
        <v>4</v>
      </c>
      <c r="AF25">
        <v>4</v>
      </c>
      <c r="AG25">
        <v>4</v>
      </c>
      <c r="AH25">
        <v>4</v>
      </c>
    </row>
    <row r="26" spans="1:34" x14ac:dyDescent="0.2">
      <c r="D26" t="s">
        <v>83</v>
      </c>
      <c r="E26">
        <v>0</v>
      </c>
      <c r="F26">
        <v>0</v>
      </c>
      <c r="G26">
        <v>0</v>
      </c>
      <c r="J26">
        <f>$AF$20</f>
        <v>1.7</v>
      </c>
      <c r="L26">
        <f>$AF$48</f>
        <v>0.72</v>
      </c>
      <c r="M26">
        <f t="shared" si="0"/>
        <v>0.57100000000000006</v>
      </c>
      <c r="O26">
        <f t="shared" si="12"/>
        <v>50</v>
      </c>
      <c r="P26">
        <f t="shared" si="7"/>
        <v>1.1306948910936463</v>
      </c>
      <c r="Q26">
        <f t="shared" si="2"/>
        <v>0.99691128459176326</v>
      </c>
      <c r="R26">
        <f t="shared" si="10"/>
        <v>1</v>
      </c>
      <c r="S26">
        <f t="shared" si="3"/>
        <v>1.1272024963615108</v>
      </c>
      <c r="T26">
        <v>70</v>
      </c>
      <c r="U26">
        <f t="shared" si="4"/>
        <v>2.2771406931596405E-2</v>
      </c>
      <c r="V26">
        <f t="shared" si="5"/>
        <v>91.25</v>
      </c>
      <c r="W26">
        <f t="shared" si="6"/>
        <v>145.45236177557203</v>
      </c>
      <c r="AB26" t="s">
        <v>81</v>
      </c>
      <c r="AC26">
        <v>2.5</v>
      </c>
      <c r="AD26">
        <v>2.5</v>
      </c>
      <c r="AE26">
        <v>2.5</v>
      </c>
      <c r="AF26">
        <v>2.5</v>
      </c>
      <c r="AG26">
        <v>2.5</v>
      </c>
      <c r="AH26">
        <v>2.5</v>
      </c>
    </row>
    <row r="27" spans="1:34" x14ac:dyDescent="0.2">
      <c r="A27">
        <v>5</v>
      </c>
      <c r="C27" t="s">
        <v>76</v>
      </c>
      <c r="D27" t="s">
        <v>80</v>
      </c>
      <c r="E27">
        <v>0</v>
      </c>
      <c r="F27">
        <v>0</v>
      </c>
      <c r="G27">
        <v>0</v>
      </c>
      <c r="J27">
        <f>$AG$17</f>
        <v>2.9</v>
      </c>
      <c r="L27">
        <f>$AG$45</f>
        <v>0.75</v>
      </c>
      <c r="M27">
        <f t="shared" si="0"/>
        <v>0.5948500000000001</v>
      </c>
      <c r="O27">
        <f>$AG72</f>
        <v>56</v>
      </c>
      <c r="P27">
        <f t="shared" si="7"/>
        <v>1.3198285488795851</v>
      </c>
      <c r="Q27">
        <f t="shared" si="2"/>
        <v>0.9999999504359468</v>
      </c>
      <c r="R27">
        <v>1</v>
      </c>
      <c r="S27">
        <f t="shared" si="3"/>
        <v>1.3198284834635328</v>
      </c>
      <c r="T27">
        <v>50</v>
      </c>
      <c r="U27">
        <f t="shared" si="4"/>
        <v>2.6392775489114419E-2</v>
      </c>
      <c r="V27">
        <f t="shared" si="5"/>
        <v>91.25</v>
      </c>
      <c r="W27">
        <f t="shared" si="6"/>
        <v>120.41703816908453</v>
      </c>
      <c r="AB27" t="s">
        <v>82</v>
      </c>
      <c r="AC27">
        <v>0.7</v>
      </c>
      <c r="AD27">
        <v>0.7</v>
      </c>
      <c r="AE27">
        <v>0.7</v>
      </c>
      <c r="AF27">
        <v>0.7</v>
      </c>
      <c r="AG27">
        <v>0.7</v>
      </c>
      <c r="AH27">
        <v>0.7</v>
      </c>
    </row>
    <row r="28" spans="1:34" x14ac:dyDescent="0.2">
      <c r="D28" t="s">
        <v>81</v>
      </c>
      <c r="E28">
        <v>0</v>
      </c>
      <c r="F28">
        <v>0</v>
      </c>
      <c r="G28">
        <v>0</v>
      </c>
      <c r="J28">
        <f>$AG$18</f>
        <v>2.5</v>
      </c>
      <c r="L28">
        <f>$AG$46</f>
        <v>0.61</v>
      </c>
      <c r="M28">
        <f t="shared" si="0"/>
        <v>0.48354999999999998</v>
      </c>
      <c r="O28">
        <f t="shared" ref="O28:O30" si="13">$AG73</f>
        <v>51</v>
      </c>
      <c r="P28">
        <f t="shared" si="7"/>
        <v>0.97873546256970145</v>
      </c>
      <c r="Q28">
        <f t="shared" si="2"/>
        <v>0.99999627334682795</v>
      </c>
      <c r="R28">
        <v>1</v>
      </c>
      <c r="S28">
        <f t="shared" si="3"/>
        <v>0.97873181516208529</v>
      </c>
      <c r="T28">
        <v>55</v>
      </c>
      <c r="U28">
        <f t="shared" si="4"/>
        <v>1.9980158125047207E-2</v>
      </c>
      <c r="V28">
        <f t="shared" si="5"/>
        <v>91.25</v>
      </c>
      <c r="W28">
        <f t="shared" si="6"/>
        <v>100.27541859008066</v>
      </c>
      <c r="AB28" t="s">
        <v>83</v>
      </c>
      <c r="AC28">
        <v>0.9</v>
      </c>
      <c r="AD28">
        <v>0.9</v>
      </c>
      <c r="AE28">
        <v>0.9</v>
      </c>
      <c r="AF28">
        <v>0.9</v>
      </c>
      <c r="AG28">
        <v>0.9</v>
      </c>
      <c r="AH28">
        <v>0.9</v>
      </c>
    </row>
    <row r="29" spans="1:34" x14ac:dyDescent="0.2">
      <c r="D29" t="s">
        <v>82</v>
      </c>
      <c r="E29">
        <v>0</v>
      </c>
      <c r="F29">
        <v>0</v>
      </c>
      <c r="G29">
        <v>0</v>
      </c>
      <c r="J29">
        <f>$AG$19</f>
        <v>1.6</v>
      </c>
      <c r="L29">
        <f>$AG$47</f>
        <v>0.64</v>
      </c>
      <c r="M29">
        <f t="shared" si="0"/>
        <v>0.50740000000000007</v>
      </c>
      <c r="O29">
        <f t="shared" si="13"/>
        <v>50</v>
      </c>
      <c r="P29">
        <f t="shared" si="7"/>
        <v>1.0054871153505722</v>
      </c>
      <c r="Q29">
        <f t="shared" si="2"/>
        <v>0.99402397710499402</v>
      </c>
      <c r="R29">
        <v>1</v>
      </c>
      <c r="S29">
        <f t="shared" si="3"/>
        <v>0.99947830132860371</v>
      </c>
      <c r="T29">
        <v>45</v>
      </c>
      <c r="U29">
        <f t="shared" si="4"/>
        <v>2.0370192064977751E-2</v>
      </c>
      <c r="V29">
        <f t="shared" si="5"/>
        <v>91.25</v>
      </c>
      <c r="W29">
        <f t="shared" si="6"/>
        <v>83.645101166814896</v>
      </c>
      <c r="AA29" t="s">
        <v>88</v>
      </c>
      <c r="AB29" t="s">
        <v>80</v>
      </c>
      <c r="AC29">
        <v>2.5</v>
      </c>
      <c r="AD29">
        <v>2.5</v>
      </c>
      <c r="AE29">
        <v>2.5</v>
      </c>
      <c r="AF29">
        <v>2.5</v>
      </c>
      <c r="AG29">
        <v>2.5</v>
      </c>
      <c r="AH29">
        <v>2.5</v>
      </c>
    </row>
    <row r="30" spans="1:34" x14ac:dyDescent="0.2">
      <c r="D30" t="s">
        <v>83</v>
      </c>
      <c r="E30">
        <v>0</v>
      </c>
      <c r="F30">
        <v>0</v>
      </c>
      <c r="G30">
        <v>0</v>
      </c>
      <c r="J30">
        <f>$AG$20</f>
        <v>1.7</v>
      </c>
      <c r="L30">
        <f>$AG$48</f>
        <v>0.72</v>
      </c>
      <c r="M30">
        <f t="shared" si="0"/>
        <v>0.57100000000000006</v>
      </c>
      <c r="O30">
        <f t="shared" si="13"/>
        <v>51</v>
      </c>
      <c r="P30">
        <f t="shared" si="7"/>
        <v>1.1534721617679149</v>
      </c>
      <c r="Q30">
        <f t="shared" si="2"/>
        <v>0.99691128459176326</v>
      </c>
      <c r="R30">
        <v>1</v>
      </c>
      <c r="S30">
        <f t="shared" si="3"/>
        <v>1.1499094145288902</v>
      </c>
      <c r="T30">
        <v>40</v>
      </c>
      <c r="U30">
        <f t="shared" si="4"/>
        <v>2.3198296993143137E-2</v>
      </c>
      <c r="V30">
        <f t="shared" si="5"/>
        <v>91.25</v>
      </c>
      <c r="W30">
        <f t="shared" si="6"/>
        <v>84.673784024972448</v>
      </c>
      <c r="AB30" t="s">
        <v>81</v>
      </c>
      <c r="AC30">
        <v>2.5</v>
      </c>
      <c r="AD30">
        <v>2.5</v>
      </c>
      <c r="AE30">
        <v>2.5</v>
      </c>
      <c r="AF30">
        <v>2.5</v>
      </c>
      <c r="AG30">
        <v>2.5</v>
      </c>
      <c r="AH30">
        <v>2.5</v>
      </c>
    </row>
    <row r="31" spans="1:34" x14ac:dyDescent="0.2">
      <c r="A31">
        <v>6</v>
      </c>
      <c r="C31" t="s">
        <v>77</v>
      </c>
      <c r="D31" t="s">
        <v>80</v>
      </c>
      <c r="E31">
        <v>0</v>
      </c>
      <c r="F31">
        <v>0</v>
      </c>
      <c r="G31">
        <v>0</v>
      </c>
      <c r="J31">
        <f>$AH$17</f>
        <v>2.9</v>
      </c>
      <c r="L31">
        <f>$AH$45</f>
        <v>0.75</v>
      </c>
      <c r="M31">
        <f t="shared" si="0"/>
        <v>0.5948500000000001</v>
      </c>
      <c r="O31">
        <f>$AH72</f>
        <v>20</v>
      </c>
      <c r="P31">
        <f t="shared" si="7"/>
        <v>0.5052226861752882</v>
      </c>
      <c r="Q31">
        <f t="shared" si="2"/>
        <v>0.9999999504359468</v>
      </c>
      <c r="R31">
        <v>1</v>
      </c>
      <c r="S31">
        <f t="shared" si="3"/>
        <v>0.50522266113440406</v>
      </c>
      <c r="T31">
        <v>30</v>
      </c>
      <c r="U31">
        <f t="shared" si="4"/>
        <v>1.1078186029326796E-2</v>
      </c>
      <c r="V31">
        <f t="shared" si="5"/>
        <v>91.25</v>
      </c>
      <c r="W31">
        <f t="shared" si="6"/>
        <v>30.326534255282102</v>
      </c>
      <c r="AB31" t="s">
        <v>82</v>
      </c>
      <c r="AC31">
        <v>1.3</v>
      </c>
      <c r="AD31">
        <v>1.3</v>
      </c>
      <c r="AE31">
        <v>1.3</v>
      </c>
      <c r="AF31">
        <v>1.3</v>
      </c>
      <c r="AG31">
        <v>1.3</v>
      </c>
      <c r="AH31">
        <v>1.3</v>
      </c>
    </row>
    <row r="32" spans="1:34" x14ac:dyDescent="0.2">
      <c r="D32" t="s">
        <v>81</v>
      </c>
      <c r="E32">
        <v>0</v>
      </c>
      <c r="F32">
        <v>0</v>
      </c>
      <c r="G32">
        <v>0</v>
      </c>
      <c r="J32">
        <f>$AH$18</f>
        <v>2.5</v>
      </c>
      <c r="L32">
        <f>$AH$46</f>
        <v>0.61</v>
      </c>
      <c r="M32">
        <f t="shared" si="0"/>
        <v>0.48354999999999998</v>
      </c>
      <c r="O32">
        <f t="shared" ref="O32:O34" si="14">$AH73</f>
        <v>27</v>
      </c>
      <c r="P32">
        <f t="shared" si="7"/>
        <v>0.52017847077168489</v>
      </c>
      <c r="Q32">
        <f t="shared" si="2"/>
        <v>0.99999627334682795</v>
      </c>
      <c r="R32">
        <v>1</v>
      </c>
      <c r="S32">
        <f t="shared" si="3"/>
        <v>0.52017653224693672</v>
      </c>
      <c r="T32">
        <v>90</v>
      </c>
      <c r="U32">
        <f t="shared" si="4"/>
        <v>1.135931880624241E-2</v>
      </c>
      <c r="V32">
        <f t="shared" si="5"/>
        <v>91.25</v>
      </c>
      <c r="W32">
        <f t="shared" si="6"/>
        <v>93.288405696265798</v>
      </c>
      <c r="AB32" t="s">
        <v>83</v>
      </c>
      <c r="AC32">
        <v>0.8</v>
      </c>
      <c r="AD32">
        <v>0.8</v>
      </c>
      <c r="AE32">
        <v>0.8</v>
      </c>
      <c r="AF32">
        <v>0.8</v>
      </c>
      <c r="AG32">
        <v>0.8</v>
      </c>
      <c r="AH32">
        <v>0.8</v>
      </c>
    </row>
    <row r="33" spans="4:34" x14ac:dyDescent="0.2">
      <c r="D33" t="s">
        <v>82</v>
      </c>
      <c r="E33">
        <v>0</v>
      </c>
      <c r="F33">
        <v>0</v>
      </c>
      <c r="G33">
        <v>0</v>
      </c>
      <c r="J33">
        <f>$AH$19</f>
        <v>1.6</v>
      </c>
      <c r="L33">
        <f>$AH$47</f>
        <v>0.64</v>
      </c>
      <c r="M33">
        <f t="shared" si="0"/>
        <v>0.50740000000000007</v>
      </c>
      <c r="O33">
        <f t="shared" si="14"/>
        <v>32</v>
      </c>
      <c r="P33">
        <f t="shared" si="7"/>
        <v>0.64511931548462409</v>
      </c>
      <c r="Q33">
        <f t="shared" si="2"/>
        <v>0.99402397710499402</v>
      </c>
      <c r="R33">
        <v>1</v>
      </c>
      <c r="S33">
        <f t="shared" si="3"/>
        <v>0.64126406768527744</v>
      </c>
      <c r="T33">
        <v>80</v>
      </c>
      <c r="U33">
        <f t="shared" si="4"/>
        <v>1.3635764472483216E-2</v>
      </c>
      <c r="V33">
        <f t="shared" si="5"/>
        <v>91.25</v>
      </c>
      <c r="W33">
        <f t="shared" si="6"/>
        <v>99.54108064912748</v>
      </c>
      <c r="AA33" t="s">
        <v>89</v>
      </c>
      <c r="AB33" t="s">
        <v>80</v>
      </c>
      <c r="AC33">
        <v>3.2</v>
      </c>
      <c r="AD33">
        <v>3.2</v>
      </c>
      <c r="AE33">
        <v>3.2</v>
      </c>
      <c r="AF33">
        <v>3.2</v>
      </c>
      <c r="AG33">
        <v>3.2</v>
      </c>
      <c r="AH33">
        <v>3.2</v>
      </c>
    </row>
    <row r="34" spans="4:34" x14ac:dyDescent="0.2">
      <c r="D34" t="s">
        <v>83</v>
      </c>
      <c r="E34">
        <v>0</v>
      </c>
      <c r="F34">
        <v>0</v>
      </c>
      <c r="G34">
        <v>0</v>
      </c>
      <c r="J34">
        <f>$AH$20</f>
        <v>1.7</v>
      </c>
      <c r="L34">
        <f>$AH$48</f>
        <v>0.72</v>
      </c>
      <c r="M34">
        <f t="shared" si="0"/>
        <v>0.57100000000000006</v>
      </c>
      <c r="O34">
        <f t="shared" si="14"/>
        <v>34</v>
      </c>
      <c r="P34">
        <f t="shared" si="7"/>
        <v>0.77753323213623582</v>
      </c>
      <c r="Q34">
        <f t="shared" si="2"/>
        <v>0.99691128459176326</v>
      </c>
      <c r="R34">
        <v>1</v>
      </c>
      <c r="S34">
        <f t="shared" si="3"/>
        <v>0.77513165326172051</v>
      </c>
      <c r="T34">
        <v>70</v>
      </c>
      <c r="U34">
        <f t="shared" si="4"/>
        <v>1.6152475081320346E-2</v>
      </c>
      <c r="V34">
        <f t="shared" si="5"/>
        <v>91.25</v>
      </c>
      <c r="W34">
        <f t="shared" si="6"/>
        <v>103.17393458193371</v>
      </c>
      <c r="AB34" t="s">
        <v>81</v>
      </c>
      <c r="AC34">
        <v>3</v>
      </c>
      <c r="AD34">
        <v>3</v>
      </c>
      <c r="AE34">
        <v>3</v>
      </c>
      <c r="AF34">
        <v>3</v>
      </c>
      <c r="AG34">
        <v>3</v>
      </c>
      <c r="AH34">
        <v>3</v>
      </c>
    </row>
    <row r="35" spans="4:34" x14ac:dyDescent="0.2">
      <c r="AB35" t="s">
        <v>82</v>
      </c>
      <c r="AC35">
        <v>1.8</v>
      </c>
      <c r="AD35">
        <v>1.8</v>
      </c>
      <c r="AE35">
        <v>1.8</v>
      </c>
      <c r="AF35">
        <v>1.8</v>
      </c>
      <c r="AG35">
        <v>1.8</v>
      </c>
      <c r="AH35">
        <v>1.8</v>
      </c>
    </row>
    <row r="36" spans="4:34" x14ac:dyDescent="0.2">
      <c r="AB36" t="s">
        <v>83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</row>
    <row r="37" spans="4:34" x14ac:dyDescent="0.2">
      <c r="AA37" t="s">
        <v>90</v>
      </c>
      <c r="AB37" t="s">
        <v>80</v>
      </c>
      <c r="AC37">
        <v>3.5</v>
      </c>
      <c r="AD37">
        <v>3.5</v>
      </c>
      <c r="AE37">
        <v>3.5</v>
      </c>
      <c r="AF37">
        <v>3.5</v>
      </c>
      <c r="AG37">
        <v>3.5</v>
      </c>
      <c r="AH37">
        <v>3.5</v>
      </c>
    </row>
    <row r="38" spans="4:34" x14ac:dyDescent="0.2">
      <c r="AB38" t="s">
        <v>81</v>
      </c>
      <c r="AC38">
        <v>1.5</v>
      </c>
      <c r="AD38">
        <v>1.5</v>
      </c>
      <c r="AE38">
        <v>1.5</v>
      </c>
      <c r="AF38">
        <v>1.5</v>
      </c>
      <c r="AG38">
        <v>1.5</v>
      </c>
      <c r="AH38">
        <v>1.5</v>
      </c>
    </row>
    <row r="39" spans="4:34" x14ac:dyDescent="0.2">
      <c r="AB39" t="s">
        <v>82</v>
      </c>
      <c r="AC39">
        <v>0.7</v>
      </c>
      <c r="AD39">
        <v>0.7</v>
      </c>
      <c r="AE39">
        <v>0.7</v>
      </c>
      <c r="AF39">
        <v>0.7</v>
      </c>
      <c r="AG39">
        <v>0.7</v>
      </c>
      <c r="AH39">
        <v>0.7</v>
      </c>
    </row>
    <row r="40" spans="4:34" x14ac:dyDescent="0.2">
      <c r="AB40" t="s">
        <v>83</v>
      </c>
      <c r="AC40">
        <v>1.2</v>
      </c>
      <c r="AD40">
        <v>1.2</v>
      </c>
      <c r="AE40">
        <v>1.2</v>
      </c>
      <c r="AF40">
        <v>1.2</v>
      </c>
      <c r="AG40">
        <v>1.2</v>
      </c>
      <c r="AH40">
        <v>1.2</v>
      </c>
    </row>
    <row r="43" spans="4:34" x14ac:dyDescent="0.2">
      <c r="AB43" t="s">
        <v>92</v>
      </c>
    </row>
    <row r="44" spans="4:34" x14ac:dyDescent="0.2">
      <c r="AB44" t="s">
        <v>93</v>
      </c>
    </row>
    <row r="45" spans="4:34" x14ac:dyDescent="0.2">
      <c r="AB45" t="s">
        <v>80</v>
      </c>
      <c r="AC45">
        <v>0.75</v>
      </c>
      <c r="AD45">
        <v>0.75</v>
      </c>
      <c r="AE45">
        <v>0.75</v>
      </c>
      <c r="AF45">
        <v>0.75</v>
      </c>
      <c r="AG45">
        <v>0.75</v>
      </c>
      <c r="AH45">
        <v>0.75</v>
      </c>
    </row>
    <row r="46" spans="4:34" x14ac:dyDescent="0.2">
      <c r="AB46" t="s">
        <v>81</v>
      </c>
      <c r="AC46">
        <v>0.61</v>
      </c>
      <c r="AD46">
        <v>0.61</v>
      </c>
      <c r="AE46">
        <v>0.61</v>
      </c>
      <c r="AF46">
        <v>0.61</v>
      </c>
      <c r="AG46">
        <v>0.61</v>
      </c>
      <c r="AH46">
        <v>0.61</v>
      </c>
    </row>
    <row r="47" spans="4:34" x14ac:dyDescent="0.2">
      <c r="AB47" t="s">
        <v>82</v>
      </c>
      <c r="AC47">
        <v>0.64</v>
      </c>
      <c r="AD47">
        <v>0.64</v>
      </c>
      <c r="AE47">
        <v>0.64</v>
      </c>
      <c r="AF47">
        <v>0.64</v>
      </c>
      <c r="AG47">
        <v>0.64</v>
      </c>
      <c r="AH47">
        <v>0.64</v>
      </c>
    </row>
    <row r="48" spans="4:34" x14ac:dyDescent="0.2">
      <c r="AB48" t="s">
        <v>83</v>
      </c>
      <c r="AC48">
        <v>0.72</v>
      </c>
      <c r="AD48">
        <v>0.72</v>
      </c>
      <c r="AE48">
        <v>0.72</v>
      </c>
      <c r="AF48">
        <v>0.72</v>
      </c>
      <c r="AG48">
        <v>0.72</v>
      </c>
      <c r="AH48">
        <v>0.72</v>
      </c>
    </row>
    <row r="49" spans="28:34" x14ac:dyDescent="0.2">
      <c r="AB49" t="s">
        <v>80</v>
      </c>
      <c r="AC49">
        <v>0.51</v>
      </c>
      <c r="AD49">
        <v>0.51</v>
      </c>
      <c r="AE49">
        <v>0.51</v>
      </c>
      <c r="AF49">
        <v>0.51</v>
      </c>
      <c r="AG49">
        <v>0.51</v>
      </c>
      <c r="AH49">
        <v>0.51</v>
      </c>
    </row>
    <row r="50" spans="28:34" x14ac:dyDescent="0.2">
      <c r="AB50" t="s">
        <v>81</v>
      </c>
      <c r="AC50">
        <v>0.55000000000000004</v>
      </c>
      <c r="AD50">
        <v>0.55000000000000004</v>
      </c>
      <c r="AE50">
        <v>0.55000000000000004</v>
      </c>
      <c r="AF50">
        <v>0.55000000000000004</v>
      </c>
      <c r="AG50">
        <v>0.55000000000000004</v>
      </c>
      <c r="AH50">
        <v>0.55000000000000004</v>
      </c>
    </row>
    <row r="51" spans="28:34" x14ac:dyDescent="0.2">
      <c r="AB51" t="s">
        <v>82</v>
      </c>
      <c r="AC51">
        <v>0.59</v>
      </c>
      <c r="AD51">
        <v>0.59</v>
      </c>
      <c r="AE51">
        <v>0.59</v>
      </c>
      <c r="AF51">
        <v>0.59</v>
      </c>
      <c r="AG51">
        <v>0.59</v>
      </c>
      <c r="AH51">
        <v>0.59</v>
      </c>
    </row>
    <row r="52" spans="28:34" x14ac:dyDescent="0.2">
      <c r="AB52" t="s">
        <v>83</v>
      </c>
      <c r="AC52">
        <v>0.57999999999999996</v>
      </c>
      <c r="AD52">
        <v>0.57999999999999996</v>
      </c>
      <c r="AE52">
        <v>0.57999999999999996</v>
      </c>
      <c r="AF52">
        <v>0.57999999999999996</v>
      </c>
      <c r="AG52">
        <v>0.57999999999999996</v>
      </c>
      <c r="AH52">
        <v>0.57999999999999996</v>
      </c>
    </row>
    <row r="53" spans="28:34" x14ac:dyDescent="0.2">
      <c r="AB53" t="s">
        <v>80</v>
      </c>
      <c r="AC53">
        <v>0.7</v>
      </c>
      <c r="AD53">
        <v>0.7</v>
      </c>
      <c r="AE53">
        <v>0.7</v>
      </c>
      <c r="AF53">
        <v>0.7</v>
      </c>
      <c r="AG53">
        <v>0.7</v>
      </c>
      <c r="AH53">
        <v>0.7</v>
      </c>
    </row>
    <row r="54" spans="28:34" x14ac:dyDescent="0.2">
      <c r="AB54" t="s">
        <v>81</v>
      </c>
      <c r="AC54">
        <v>0.55000000000000004</v>
      </c>
      <c r="AD54">
        <v>0.55000000000000004</v>
      </c>
      <c r="AE54">
        <v>0.55000000000000004</v>
      </c>
      <c r="AF54">
        <v>0.55000000000000004</v>
      </c>
      <c r="AG54">
        <v>0.55000000000000004</v>
      </c>
      <c r="AH54">
        <v>0.55000000000000004</v>
      </c>
    </row>
    <row r="55" spans="28:34" x14ac:dyDescent="0.2">
      <c r="AB55" t="s">
        <v>82</v>
      </c>
      <c r="AC55">
        <v>0.55000000000000004</v>
      </c>
      <c r="AD55">
        <v>0.55000000000000004</v>
      </c>
      <c r="AE55">
        <v>0.55000000000000004</v>
      </c>
      <c r="AF55">
        <v>0.55000000000000004</v>
      </c>
      <c r="AG55">
        <v>0.55000000000000004</v>
      </c>
      <c r="AH55">
        <v>0.55000000000000004</v>
      </c>
    </row>
    <row r="56" spans="28:34" x14ac:dyDescent="0.2">
      <c r="AB56" t="s">
        <v>83</v>
      </c>
      <c r="AC56">
        <v>0.75</v>
      </c>
      <c r="AD56">
        <v>0.75</v>
      </c>
      <c r="AE56">
        <v>0.75</v>
      </c>
      <c r="AF56">
        <v>0.75</v>
      </c>
      <c r="AG56">
        <v>0.75</v>
      </c>
      <c r="AH56">
        <v>0.75</v>
      </c>
    </row>
    <row r="57" spans="28:34" x14ac:dyDescent="0.2">
      <c r="AB57" t="s">
        <v>80</v>
      </c>
      <c r="AC57">
        <v>0.75</v>
      </c>
      <c r="AD57">
        <v>0.75</v>
      </c>
      <c r="AE57">
        <v>0.75</v>
      </c>
      <c r="AF57">
        <v>0.75</v>
      </c>
      <c r="AG57">
        <v>0.75</v>
      </c>
      <c r="AH57">
        <v>0.75</v>
      </c>
    </row>
    <row r="58" spans="28:34" x14ac:dyDescent="0.2">
      <c r="AB58" t="s">
        <v>81</v>
      </c>
      <c r="AC58">
        <v>0.55000000000000004</v>
      </c>
      <c r="AD58">
        <v>0.55000000000000004</v>
      </c>
      <c r="AE58">
        <v>0.55000000000000004</v>
      </c>
      <c r="AF58">
        <v>0.55000000000000004</v>
      </c>
      <c r="AG58">
        <v>0.55000000000000004</v>
      </c>
      <c r="AH58">
        <v>0.55000000000000004</v>
      </c>
    </row>
    <row r="59" spans="28:34" x14ac:dyDescent="0.2">
      <c r="AB59" t="s">
        <v>82</v>
      </c>
      <c r="AC59">
        <v>0.67</v>
      </c>
      <c r="AD59">
        <v>0.67</v>
      </c>
      <c r="AE59">
        <v>0.67</v>
      </c>
      <c r="AF59">
        <v>0.67</v>
      </c>
      <c r="AG59">
        <v>0.67</v>
      </c>
      <c r="AH59">
        <v>0.67</v>
      </c>
    </row>
    <row r="60" spans="28:34" x14ac:dyDescent="0.2">
      <c r="AB60" t="s">
        <v>83</v>
      </c>
      <c r="AC60">
        <v>0.7</v>
      </c>
      <c r="AD60">
        <v>0.7</v>
      </c>
      <c r="AE60">
        <v>0.7</v>
      </c>
      <c r="AF60">
        <v>0.7</v>
      </c>
      <c r="AG60">
        <v>0.7</v>
      </c>
      <c r="AH60">
        <v>0.7</v>
      </c>
    </row>
    <row r="61" spans="28:34" x14ac:dyDescent="0.2">
      <c r="AB61" t="s">
        <v>80</v>
      </c>
      <c r="AC61">
        <v>0.7</v>
      </c>
      <c r="AD61">
        <v>0.7</v>
      </c>
      <c r="AE61">
        <v>0.7</v>
      </c>
      <c r="AF61">
        <v>0.7</v>
      </c>
      <c r="AG61">
        <v>0.7</v>
      </c>
      <c r="AH61">
        <v>0.7</v>
      </c>
    </row>
    <row r="62" spans="28:34" x14ac:dyDescent="0.2">
      <c r="AB62" t="s">
        <v>81</v>
      </c>
      <c r="AC62">
        <v>0.55000000000000004</v>
      </c>
      <c r="AD62">
        <v>0.55000000000000004</v>
      </c>
      <c r="AE62">
        <v>0.55000000000000004</v>
      </c>
      <c r="AF62">
        <v>0.55000000000000004</v>
      </c>
      <c r="AG62">
        <v>0.55000000000000004</v>
      </c>
      <c r="AH62">
        <v>0.55000000000000004</v>
      </c>
    </row>
    <row r="63" spans="28:34" x14ac:dyDescent="0.2">
      <c r="AB63" t="s">
        <v>82</v>
      </c>
      <c r="AC63">
        <v>0.65</v>
      </c>
      <c r="AD63">
        <v>0.65</v>
      </c>
      <c r="AE63">
        <v>0.65</v>
      </c>
      <c r="AF63">
        <v>0.65</v>
      </c>
      <c r="AG63">
        <v>0.65</v>
      </c>
      <c r="AH63">
        <v>0.65</v>
      </c>
    </row>
    <row r="64" spans="28:34" x14ac:dyDescent="0.2">
      <c r="AB64" t="s">
        <v>83</v>
      </c>
      <c r="AC64">
        <v>0.6</v>
      </c>
      <c r="AD64">
        <v>0.6</v>
      </c>
      <c r="AE64">
        <v>0.6</v>
      </c>
      <c r="AF64">
        <v>0.6</v>
      </c>
      <c r="AG64">
        <v>0.6</v>
      </c>
      <c r="AH64">
        <v>0.6</v>
      </c>
    </row>
    <row r="65" spans="28:34" x14ac:dyDescent="0.2">
      <c r="AB65" t="s">
        <v>80</v>
      </c>
      <c r="AC65">
        <v>0.73</v>
      </c>
      <c r="AD65">
        <v>0.73</v>
      </c>
      <c r="AE65">
        <v>0.73</v>
      </c>
      <c r="AF65">
        <v>0.73</v>
      </c>
      <c r="AG65">
        <v>0.73</v>
      </c>
      <c r="AH65">
        <v>0.73</v>
      </c>
    </row>
    <row r="66" spans="28:34" x14ac:dyDescent="0.2">
      <c r="AB66" t="s">
        <v>81</v>
      </c>
      <c r="AC66">
        <v>0.55000000000000004</v>
      </c>
      <c r="AD66">
        <v>0.55000000000000004</v>
      </c>
      <c r="AE66">
        <v>0.55000000000000004</v>
      </c>
      <c r="AF66">
        <v>0.55000000000000004</v>
      </c>
      <c r="AG66">
        <v>0.55000000000000004</v>
      </c>
      <c r="AH66">
        <v>0.55000000000000004</v>
      </c>
    </row>
    <row r="67" spans="28:34" x14ac:dyDescent="0.2">
      <c r="AB67" t="s">
        <v>82</v>
      </c>
      <c r="AC67">
        <v>0.5</v>
      </c>
      <c r="AD67">
        <v>0.5</v>
      </c>
      <c r="AE67">
        <v>0.7</v>
      </c>
      <c r="AF67">
        <v>0.7</v>
      </c>
      <c r="AG67">
        <v>0.5</v>
      </c>
      <c r="AH67">
        <v>0.7</v>
      </c>
    </row>
    <row r="68" spans="28:34" x14ac:dyDescent="0.2">
      <c r="AB68" t="s">
        <v>83</v>
      </c>
      <c r="AC68">
        <v>0.76</v>
      </c>
      <c r="AD68">
        <v>0.76</v>
      </c>
      <c r="AE68">
        <v>0.76</v>
      </c>
      <c r="AF68">
        <v>0.76</v>
      </c>
      <c r="AG68">
        <v>0.76</v>
      </c>
      <c r="AH68">
        <v>0.76</v>
      </c>
    </row>
    <row r="71" spans="28:34" x14ac:dyDescent="0.2">
      <c r="AB71" t="s">
        <v>94</v>
      </c>
      <c r="AC71" t="s">
        <v>61</v>
      </c>
    </row>
    <row r="72" spans="28:34" x14ac:dyDescent="0.2">
      <c r="AB72" t="s">
        <v>80</v>
      </c>
      <c r="AC72">
        <v>75</v>
      </c>
      <c r="AD72">
        <v>62</v>
      </c>
      <c r="AE72">
        <v>44</v>
      </c>
      <c r="AF72">
        <v>54</v>
      </c>
      <c r="AG72">
        <v>56</v>
      </c>
      <c r="AH72">
        <v>20</v>
      </c>
    </row>
    <row r="73" spans="28:34" x14ac:dyDescent="0.2">
      <c r="AB73" t="s">
        <v>81</v>
      </c>
      <c r="AC73">
        <v>75</v>
      </c>
      <c r="AD73">
        <v>55</v>
      </c>
      <c r="AE73">
        <v>42</v>
      </c>
      <c r="AF73">
        <v>49</v>
      </c>
      <c r="AG73">
        <v>51</v>
      </c>
      <c r="AH73">
        <v>27</v>
      </c>
    </row>
    <row r="74" spans="28:34" x14ac:dyDescent="0.2">
      <c r="AB74" t="s">
        <v>82</v>
      </c>
      <c r="AC74">
        <v>69</v>
      </c>
      <c r="AD74">
        <v>55</v>
      </c>
      <c r="AE74">
        <v>43</v>
      </c>
      <c r="AF74">
        <v>50</v>
      </c>
      <c r="AG74">
        <v>50</v>
      </c>
      <c r="AH74">
        <v>32</v>
      </c>
    </row>
    <row r="75" spans="28:34" x14ac:dyDescent="0.2">
      <c r="AB75" t="s">
        <v>83</v>
      </c>
      <c r="AC75">
        <v>69</v>
      </c>
      <c r="AD75">
        <v>55</v>
      </c>
      <c r="AE75">
        <v>45</v>
      </c>
      <c r="AF75">
        <v>50</v>
      </c>
      <c r="AG75">
        <v>51</v>
      </c>
      <c r="AH75">
        <v>34</v>
      </c>
    </row>
    <row r="76" spans="28:34" x14ac:dyDescent="0.2">
      <c r="AB76" t="s">
        <v>80</v>
      </c>
      <c r="AC76">
        <v>58</v>
      </c>
      <c r="AD76">
        <v>50</v>
      </c>
      <c r="AE76">
        <v>35</v>
      </c>
      <c r="AF76">
        <v>40</v>
      </c>
      <c r="AG76">
        <v>45</v>
      </c>
      <c r="AH76">
        <v>20</v>
      </c>
    </row>
    <row r="77" spans="28:34" x14ac:dyDescent="0.2">
      <c r="AB77" t="s">
        <v>81</v>
      </c>
      <c r="AC77">
        <v>61</v>
      </c>
      <c r="AD77">
        <v>55</v>
      </c>
      <c r="AE77">
        <v>40</v>
      </c>
      <c r="AF77">
        <v>45</v>
      </c>
      <c r="AG77">
        <v>50</v>
      </c>
      <c r="AH77">
        <v>25</v>
      </c>
    </row>
    <row r="78" spans="28:34" x14ac:dyDescent="0.2">
      <c r="AB78" t="s">
        <v>82</v>
      </c>
      <c r="AC78">
        <v>63</v>
      </c>
      <c r="AD78">
        <v>55</v>
      </c>
      <c r="AE78">
        <v>40</v>
      </c>
      <c r="AF78">
        <v>45</v>
      </c>
      <c r="AG78">
        <v>50</v>
      </c>
      <c r="AH78">
        <v>20</v>
      </c>
    </row>
    <row r="79" spans="28:34" x14ac:dyDescent="0.2">
      <c r="AB79" t="s">
        <v>83</v>
      </c>
      <c r="AC79">
        <v>60</v>
      </c>
      <c r="AD79">
        <v>50</v>
      </c>
      <c r="AE79">
        <v>35</v>
      </c>
      <c r="AF79">
        <v>42</v>
      </c>
      <c r="AG79">
        <v>48</v>
      </c>
      <c r="AH79">
        <v>25</v>
      </c>
    </row>
    <row r="80" spans="28:34" x14ac:dyDescent="0.2">
      <c r="AB80" t="s">
        <v>80</v>
      </c>
      <c r="AC80">
        <v>80</v>
      </c>
      <c r="AD80">
        <v>70</v>
      </c>
      <c r="AE80">
        <v>52</v>
      </c>
      <c r="AF80">
        <v>55</v>
      </c>
      <c r="AG80">
        <v>55</v>
      </c>
      <c r="AH80">
        <v>40</v>
      </c>
    </row>
    <row r="81" spans="28:34" x14ac:dyDescent="0.2">
      <c r="AB81" t="s">
        <v>81</v>
      </c>
      <c r="AC81">
        <v>70</v>
      </c>
      <c r="AD81">
        <v>65</v>
      </c>
      <c r="AE81">
        <v>52</v>
      </c>
      <c r="AF81">
        <v>55</v>
      </c>
      <c r="AG81">
        <v>55</v>
      </c>
      <c r="AH81">
        <v>45</v>
      </c>
    </row>
    <row r="82" spans="28:34" x14ac:dyDescent="0.2">
      <c r="AB82" t="s">
        <v>82</v>
      </c>
      <c r="AC82">
        <v>70</v>
      </c>
      <c r="AD82">
        <v>60</v>
      </c>
      <c r="AE82">
        <v>52</v>
      </c>
      <c r="AF82">
        <v>55</v>
      </c>
      <c r="AG82">
        <v>55</v>
      </c>
      <c r="AH82">
        <v>20</v>
      </c>
    </row>
    <row r="83" spans="28:34" x14ac:dyDescent="0.2">
      <c r="AB83" t="s">
        <v>83</v>
      </c>
      <c r="AC83">
        <v>70</v>
      </c>
      <c r="AD83">
        <v>60</v>
      </c>
      <c r="AE83">
        <v>52</v>
      </c>
      <c r="AF83">
        <v>55</v>
      </c>
      <c r="AG83">
        <v>55</v>
      </c>
      <c r="AH83">
        <v>30</v>
      </c>
    </row>
    <row r="84" spans="28:34" x14ac:dyDescent="0.2">
      <c r="AB84" t="s">
        <v>80</v>
      </c>
      <c r="AC84">
        <v>90</v>
      </c>
      <c r="AD84">
        <v>55</v>
      </c>
      <c r="AE84">
        <v>45</v>
      </c>
      <c r="AF84">
        <v>50</v>
      </c>
      <c r="AG84">
        <v>50</v>
      </c>
      <c r="AH84">
        <v>14</v>
      </c>
    </row>
    <row r="85" spans="28:34" x14ac:dyDescent="0.2">
      <c r="AB85" t="s">
        <v>81</v>
      </c>
      <c r="AC85">
        <v>90</v>
      </c>
      <c r="AD85">
        <v>55</v>
      </c>
      <c r="AE85">
        <v>45</v>
      </c>
      <c r="AF85">
        <v>50</v>
      </c>
      <c r="AG85">
        <v>50</v>
      </c>
      <c r="AH85">
        <v>24</v>
      </c>
    </row>
    <row r="86" spans="28:34" x14ac:dyDescent="0.2">
      <c r="AB86" t="s">
        <v>82</v>
      </c>
      <c r="AC86">
        <v>75</v>
      </c>
      <c r="AD86">
        <v>50</v>
      </c>
      <c r="AE86">
        <v>45</v>
      </c>
      <c r="AF86">
        <v>50</v>
      </c>
      <c r="AG86">
        <v>50</v>
      </c>
      <c r="AH86">
        <v>36</v>
      </c>
    </row>
    <row r="87" spans="28:34" x14ac:dyDescent="0.2">
      <c r="AB87" t="s">
        <v>83</v>
      </c>
      <c r="AC87">
        <v>75</v>
      </c>
      <c r="AD87">
        <v>45</v>
      </c>
      <c r="AE87">
        <v>50</v>
      </c>
      <c r="AF87">
        <v>55</v>
      </c>
      <c r="AG87">
        <v>50</v>
      </c>
      <c r="AH87">
        <v>42</v>
      </c>
    </row>
    <row r="88" spans="28:34" x14ac:dyDescent="0.2">
      <c r="AB88" t="s">
        <v>80</v>
      </c>
      <c r="AC88">
        <v>70</v>
      </c>
      <c r="AD88">
        <v>60</v>
      </c>
      <c r="AE88">
        <v>50</v>
      </c>
      <c r="AF88">
        <v>55</v>
      </c>
      <c r="AG88">
        <v>50</v>
      </c>
      <c r="AH88">
        <v>22</v>
      </c>
    </row>
    <row r="89" spans="28:34" x14ac:dyDescent="0.2">
      <c r="AB89" t="s">
        <v>81</v>
      </c>
      <c r="AC89">
        <v>65</v>
      </c>
      <c r="AD89">
        <v>55</v>
      </c>
      <c r="AE89">
        <v>45</v>
      </c>
      <c r="AF89">
        <v>50</v>
      </c>
      <c r="AG89">
        <v>50</v>
      </c>
      <c r="AH89">
        <v>28</v>
      </c>
    </row>
    <row r="90" spans="28:34" x14ac:dyDescent="0.2">
      <c r="AB90" t="s">
        <v>82</v>
      </c>
      <c r="AC90">
        <v>65</v>
      </c>
      <c r="AD90">
        <v>52</v>
      </c>
      <c r="AE90">
        <v>43</v>
      </c>
      <c r="AF90">
        <v>48</v>
      </c>
      <c r="AG90">
        <v>50</v>
      </c>
      <c r="AH90">
        <v>33</v>
      </c>
    </row>
    <row r="91" spans="28:34" x14ac:dyDescent="0.2">
      <c r="AB91" t="s">
        <v>83</v>
      </c>
      <c r="AC91">
        <v>60</v>
      </c>
      <c r="AD91">
        <v>50</v>
      </c>
      <c r="AE91">
        <v>40</v>
      </c>
      <c r="AF91">
        <v>45</v>
      </c>
      <c r="AG91">
        <v>50</v>
      </c>
      <c r="AH91">
        <v>35</v>
      </c>
    </row>
    <row r="92" spans="28:34" x14ac:dyDescent="0.2">
      <c r="AB92" t="s">
        <v>80</v>
      </c>
      <c r="AC92">
        <v>75</v>
      </c>
      <c r="AD92">
        <v>60</v>
      </c>
      <c r="AE92">
        <v>50</v>
      </c>
      <c r="AF92">
        <v>55</v>
      </c>
      <c r="AG92">
        <v>55</v>
      </c>
      <c r="AH92">
        <v>30</v>
      </c>
    </row>
    <row r="93" spans="28:34" x14ac:dyDescent="0.2">
      <c r="AB93" t="s">
        <v>81</v>
      </c>
      <c r="AC93">
        <v>65</v>
      </c>
      <c r="AD93">
        <v>55</v>
      </c>
      <c r="AE93">
        <v>45</v>
      </c>
      <c r="AF93">
        <v>50</v>
      </c>
      <c r="AG93">
        <v>50</v>
      </c>
      <c r="AH93">
        <v>30</v>
      </c>
    </row>
    <row r="94" spans="28:34" x14ac:dyDescent="0.2">
      <c r="AB94" t="s">
        <v>82</v>
      </c>
      <c r="AC94">
        <v>65</v>
      </c>
      <c r="AD94">
        <v>48</v>
      </c>
      <c r="AE94">
        <v>40</v>
      </c>
      <c r="AF94">
        <v>45</v>
      </c>
      <c r="AG94">
        <v>45</v>
      </c>
      <c r="AH94">
        <v>10</v>
      </c>
    </row>
    <row r="95" spans="28:34" x14ac:dyDescent="0.2">
      <c r="AB95" t="s">
        <v>83</v>
      </c>
      <c r="AC95">
        <v>65</v>
      </c>
      <c r="AD95">
        <v>48</v>
      </c>
      <c r="AE95">
        <v>45</v>
      </c>
      <c r="AF95">
        <v>50</v>
      </c>
      <c r="AG95">
        <v>50</v>
      </c>
      <c r="AH95">
        <v>20</v>
      </c>
    </row>
  </sheetData>
  <pageMargins left="0.7" right="0.7" top="0.75" bottom="0.75" header="0.3" footer="0.3"/>
  <ignoredErrors>
    <ignoredError sqref="O2:W10 H11 M11 U11 L2:M10 J2:J10 E2: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3.4.1.1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2026-04-30T11:19:49Z</dcterms:created>
  <dcterms:modified xsi:type="dcterms:W3CDTF">2026-05-01T09:28:55Z</dcterms:modified>
</cp:coreProperties>
</file>