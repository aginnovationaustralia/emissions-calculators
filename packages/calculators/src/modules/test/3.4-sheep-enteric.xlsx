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20001_{70F7A806-93B0-3F49-8F74-3112147096D0}" xr6:coauthVersionLast="47" xr6:coauthVersionMax="47" xr10:uidLastSave="{00000000-0000-0000-0000-000000000000}"/>
  <bookViews>
    <workbookView xWindow="0" yWindow="1420" windowWidth="51200" windowHeight="28200" xr2:uid="{00000000-000D-0000-FFFF-FFFF00000000}"/>
  </bookViews>
  <sheets>
    <sheet name="3.4.1.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91" i="1" l="1"/>
  <c r="H304" i="1"/>
  <c r="H302" i="1"/>
  <c r="H300" i="1"/>
  <c r="G304" i="1"/>
  <c r="V314" i="1"/>
  <c r="Q314" i="1"/>
  <c r="O314" i="1"/>
  <c r="L314" i="1"/>
  <c r="M314" i="1" s="1"/>
  <c r="P314" i="1" s="1"/>
  <c r="S314" i="1" s="1"/>
  <c r="U314" i="1" s="1"/>
  <c r="W314" i="1" s="1"/>
  <c r="J314" i="1"/>
  <c r="V313" i="1"/>
  <c r="O313" i="1"/>
  <c r="L313" i="1"/>
  <c r="M313" i="1" s="1"/>
  <c r="P313" i="1" s="1"/>
  <c r="J313" i="1"/>
  <c r="Q313" i="1" s="1"/>
  <c r="V312" i="1"/>
  <c r="Q312" i="1"/>
  <c r="O312" i="1"/>
  <c r="L312" i="1"/>
  <c r="M312" i="1" s="1"/>
  <c r="P312" i="1" s="1"/>
  <c r="S312" i="1" s="1"/>
  <c r="U312" i="1" s="1"/>
  <c r="W312" i="1" s="1"/>
  <c r="J312" i="1"/>
  <c r="V311" i="1"/>
  <c r="Q311" i="1"/>
  <c r="O311" i="1"/>
  <c r="P311" i="1" s="1"/>
  <c r="S311" i="1" s="1"/>
  <c r="U311" i="1" s="1"/>
  <c r="W311" i="1" s="1"/>
  <c r="M311" i="1"/>
  <c r="L311" i="1"/>
  <c r="J311" i="1"/>
  <c r="V310" i="1"/>
  <c r="Q310" i="1"/>
  <c r="O310" i="1"/>
  <c r="L310" i="1"/>
  <c r="M310" i="1" s="1"/>
  <c r="P310" i="1" s="1"/>
  <c r="S310" i="1" s="1"/>
  <c r="U310" i="1" s="1"/>
  <c r="W310" i="1" s="1"/>
  <c r="J310" i="1"/>
  <c r="V309" i="1"/>
  <c r="O309" i="1"/>
  <c r="L309" i="1"/>
  <c r="M309" i="1" s="1"/>
  <c r="P309" i="1" s="1"/>
  <c r="S309" i="1" s="1"/>
  <c r="U309" i="1" s="1"/>
  <c r="W309" i="1" s="1"/>
  <c r="J309" i="1"/>
  <c r="Q309" i="1" s="1"/>
  <c r="V308" i="1"/>
  <c r="Q308" i="1"/>
  <c r="O308" i="1"/>
  <c r="L308" i="1"/>
  <c r="M308" i="1" s="1"/>
  <c r="P308" i="1" s="1"/>
  <c r="S308" i="1" s="1"/>
  <c r="U308" i="1" s="1"/>
  <c r="W308" i="1" s="1"/>
  <c r="J308" i="1"/>
  <c r="V307" i="1"/>
  <c r="O307" i="1"/>
  <c r="L307" i="1"/>
  <c r="M307" i="1" s="1"/>
  <c r="P307" i="1" s="1"/>
  <c r="S307" i="1" s="1"/>
  <c r="U307" i="1" s="1"/>
  <c r="W307" i="1" s="1"/>
  <c r="J307" i="1"/>
  <c r="Q307" i="1" s="1"/>
  <c r="V306" i="1"/>
  <c r="R306" i="1"/>
  <c r="Q306" i="1"/>
  <c r="O306" i="1"/>
  <c r="M306" i="1"/>
  <c r="P306" i="1" s="1"/>
  <c r="S306" i="1" s="1"/>
  <c r="U306" i="1" s="1"/>
  <c r="W306" i="1" s="1"/>
  <c r="L306" i="1"/>
  <c r="J306" i="1"/>
  <c r="V305" i="1"/>
  <c r="R305" i="1"/>
  <c r="Q305" i="1"/>
  <c r="O305" i="1"/>
  <c r="L305" i="1"/>
  <c r="M305" i="1" s="1"/>
  <c r="P305" i="1" s="1"/>
  <c r="S305" i="1" s="1"/>
  <c r="U305" i="1" s="1"/>
  <c r="W305" i="1" s="1"/>
  <c r="J305" i="1"/>
  <c r="V304" i="1"/>
  <c r="R304" i="1"/>
  <c r="Q304" i="1"/>
  <c r="P304" i="1"/>
  <c r="O304" i="1"/>
  <c r="M304" i="1"/>
  <c r="L304" i="1"/>
  <c r="J304" i="1"/>
  <c r="V303" i="1"/>
  <c r="Q303" i="1"/>
  <c r="O303" i="1"/>
  <c r="P303" i="1" s="1"/>
  <c r="M303" i="1"/>
  <c r="L303" i="1"/>
  <c r="J303" i="1"/>
  <c r="H303" i="1"/>
  <c r="G303" i="1"/>
  <c r="V302" i="1"/>
  <c r="R302" i="1"/>
  <c r="Q302" i="1"/>
  <c r="P302" i="1"/>
  <c r="O302" i="1"/>
  <c r="M302" i="1"/>
  <c r="L302" i="1"/>
  <c r="J302" i="1"/>
  <c r="G302" i="1"/>
  <c r="V301" i="1"/>
  <c r="R301" i="1"/>
  <c r="Q301" i="1"/>
  <c r="P301" i="1"/>
  <c r="S301" i="1" s="1"/>
  <c r="U301" i="1" s="1"/>
  <c r="W301" i="1" s="1"/>
  <c r="O301" i="1"/>
  <c r="M301" i="1"/>
  <c r="L301" i="1"/>
  <c r="J301" i="1"/>
  <c r="G301" i="1"/>
  <c r="V300" i="1"/>
  <c r="Q300" i="1"/>
  <c r="P300" i="1"/>
  <c r="O300" i="1"/>
  <c r="M300" i="1"/>
  <c r="L300" i="1"/>
  <c r="J300" i="1"/>
  <c r="G300" i="1"/>
  <c r="R300" i="1" s="1"/>
  <c r="V299" i="1"/>
  <c r="R299" i="1"/>
  <c r="Q299" i="1"/>
  <c r="P299" i="1"/>
  <c r="O299" i="1"/>
  <c r="M299" i="1"/>
  <c r="L299" i="1"/>
  <c r="J299" i="1"/>
  <c r="H299" i="1"/>
  <c r="G299" i="1"/>
  <c r="V298" i="1"/>
  <c r="Q298" i="1"/>
  <c r="P298" i="1"/>
  <c r="S298" i="1" s="1"/>
  <c r="U298" i="1" s="1"/>
  <c r="W298" i="1" s="1"/>
  <c r="O298" i="1"/>
  <c r="M298" i="1"/>
  <c r="L298" i="1"/>
  <c r="J298" i="1"/>
  <c r="V297" i="1"/>
  <c r="Q297" i="1"/>
  <c r="O297" i="1"/>
  <c r="M297" i="1"/>
  <c r="P297" i="1" s="1"/>
  <c r="S297" i="1" s="1"/>
  <c r="U297" i="1" s="1"/>
  <c r="W297" i="1" s="1"/>
  <c r="L297" i="1"/>
  <c r="J297" i="1"/>
  <c r="V296" i="1"/>
  <c r="O296" i="1"/>
  <c r="L296" i="1"/>
  <c r="M296" i="1" s="1"/>
  <c r="P296" i="1" s="1"/>
  <c r="S296" i="1" s="1"/>
  <c r="U296" i="1" s="1"/>
  <c r="W296" i="1" s="1"/>
  <c r="J296" i="1"/>
  <c r="Q296" i="1" s="1"/>
  <c r="V295" i="1"/>
  <c r="O295" i="1"/>
  <c r="L295" i="1"/>
  <c r="M295" i="1" s="1"/>
  <c r="P295" i="1" s="1"/>
  <c r="S295" i="1" s="1"/>
  <c r="U295" i="1" s="1"/>
  <c r="W295" i="1" s="1"/>
  <c r="J295" i="1"/>
  <c r="Q295" i="1" s="1"/>
  <c r="V294" i="1"/>
  <c r="O294" i="1"/>
  <c r="L294" i="1"/>
  <c r="M294" i="1" s="1"/>
  <c r="P294" i="1" s="1"/>
  <c r="J294" i="1"/>
  <c r="Q294" i="1" s="1"/>
  <c r="V293" i="1"/>
  <c r="Q293" i="1"/>
  <c r="O293" i="1"/>
  <c r="M293" i="1"/>
  <c r="P293" i="1" s="1"/>
  <c r="S293" i="1" s="1"/>
  <c r="U293" i="1" s="1"/>
  <c r="W293" i="1" s="1"/>
  <c r="L293" i="1"/>
  <c r="J293" i="1"/>
  <c r="V292" i="1"/>
  <c r="Q292" i="1"/>
  <c r="P292" i="1"/>
  <c r="S292" i="1" s="1"/>
  <c r="U292" i="1" s="1"/>
  <c r="W292" i="1" s="1"/>
  <c r="O292" i="1"/>
  <c r="M292" i="1"/>
  <c r="L292" i="1"/>
  <c r="J292" i="1"/>
  <c r="V291" i="1"/>
  <c r="Q291" i="1"/>
  <c r="O291" i="1"/>
  <c r="P291" i="1" s="1"/>
  <c r="S291" i="1" s="1"/>
  <c r="U291" i="1" s="1"/>
  <c r="W291" i="1" s="1"/>
  <c r="M291" i="1"/>
  <c r="L291" i="1"/>
  <c r="J291" i="1"/>
  <c r="V284" i="1"/>
  <c r="Q284" i="1"/>
  <c r="L284" i="1"/>
  <c r="M284" i="1" s="1"/>
  <c r="P284" i="1" s="1"/>
  <c r="S284" i="1" s="1"/>
  <c r="U284" i="1" s="1"/>
  <c r="W284" i="1" s="1"/>
  <c r="J284" i="1"/>
  <c r="V283" i="1"/>
  <c r="L283" i="1"/>
  <c r="M283" i="1" s="1"/>
  <c r="P283" i="1" s="1"/>
  <c r="S283" i="1" s="1"/>
  <c r="U283" i="1" s="1"/>
  <c r="W283" i="1" s="1"/>
  <c r="J283" i="1"/>
  <c r="Q283" i="1" s="1"/>
  <c r="V282" i="1"/>
  <c r="Q282" i="1"/>
  <c r="L282" i="1"/>
  <c r="M282" i="1" s="1"/>
  <c r="P282" i="1" s="1"/>
  <c r="S282" i="1" s="1"/>
  <c r="U282" i="1" s="1"/>
  <c r="W282" i="1" s="1"/>
  <c r="J282" i="1"/>
  <c r="V281" i="1"/>
  <c r="Q281" i="1"/>
  <c r="L281" i="1"/>
  <c r="M281" i="1" s="1"/>
  <c r="P281" i="1" s="1"/>
  <c r="S281" i="1" s="1"/>
  <c r="U281" i="1" s="1"/>
  <c r="W281" i="1" s="1"/>
  <c r="J281" i="1"/>
  <c r="V280" i="1"/>
  <c r="Q280" i="1"/>
  <c r="L280" i="1"/>
  <c r="M280" i="1" s="1"/>
  <c r="P280" i="1" s="1"/>
  <c r="S280" i="1" s="1"/>
  <c r="U280" i="1" s="1"/>
  <c r="W280" i="1" s="1"/>
  <c r="J280" i="1"/>
  <c r="V279" i="1"/>
  <c r="Q279" i="1"/>
  <c r="P279" i="1"/>
  <c r="S279" i="1" s="1"/>
  <c r="U279" i="1" s="1"/>
  <c r="W279" i="1" s="1"/>
  <c r="M279" i="1"/>
  <c r="L279" i="1"/>
  <c r="J279" i="1"/>
  <c r="V278" i="1"/>
  <c r="Q278" i="1"/>
  <c r="L278" i="1"/>
  <c r="M278" i="1" s="1"/>
  <c r="P278" i="1" s="1"/>
  <c r="S278" i="1" s="1"/>
  <c r="U278" i="1" s="1"/>
  <c r="W278" i="1" s="1"/>
  <c r="J278" i="1"/>
  <c r="V277" i="1"/>
  <c r="L277" i="1"/>
  <c r="M277" i="1" s="1"/>
  <c r="P277" i="1" s="1"/>
  <c r="S277" i="1" s="1"/>
  <c r="U277" i="1" s="1"/>
  <c r="W277" i="1" s="1"/>
  <c r="J277" i="1"/>
  <c r="Q277" i="1" s="1"/>
  <c r="V276" i="1"/>
  <c r="R276" i="1"/>
  <c r="L276" i="1"/>
  <c r="M276" i="1" s="1"/>
  <c r="P276" i="1" s="1"/>
  <c r="J276" i="1"/>
  <c r="Q276" i="1" s="1"/>
  <c r="V275" i="1"/>
  <c r="R275" i="1"/>
  <c r="Q275" i="1"/>
  <c r="L275" i="1"/>
  <c r="M275" i="1" s="1"/>
  <c r="P275" i="1" s="1"/>
  <c r="S275" i="1" s="1"/>
  <c r="U275" i="1" s="1"/>
  <c r="W275" i="1" s="1"/>
  <c r="J275" i="1"/>
  <c r="V274" i="1"/>
  <c r="R274" i="1"/>
  <c r="P274" i="1"/>
  <c r="S274" i="1" s="1"/>
  <c r="U274" i="1" s="1"/>
  <c r="W274" i="1" s="1"/>
  <c r="M274" i="1"/>
  <c r="L274" i="1"/>
  <c r="J274" i="1"/>
  <c r="Q274" i="1" s="1"/>
  <c r="V273" i="1"/>
  <c r="Q273" i="1"/>
  <c r="L273" i="1"/>
  <c r="M273" i="1" s="1"/>
  <c r="P273" i="1" s="1"/>
  <c r="J273" i="1"/>
  <c r="H273" i="1"/>
  <c r="G273" i="1"/>
  <c r="R273" i="1" s="1"/>
  <c r="V272" i="1"/>
  <c r="P272" i="1"/>
  <c r="S272" i="1" s="1"/>
  <c r="U272" i="1" s="1"/>
  <c r="W272" i="1" s="1"/>
  <c r="M272" i="1"/>
  <c r="L272" i="1"/>
  <c r="J272" i="1"/>
  <c r="Q272" i="1" s="1"/>
  <c r="G272" i="1"/>
  <c r="R272" i="1" s="1"/>
  <c r="V271" i="1"/>
  <c r="P271" i="1"/>
  <c r="M271" i="1"/>
  <c r="L271" i="1"/>
  <c r="J271" i="1"/>
  <c r="Q271" i="1" s="1"/>
  <c r="G271" i="1"/>
  <c r="R271" i="1" s="1"/>
  <c r="V270" i="1"/>
  <c r="P270" i="1"/>
  <c r="S270" i="1" s="1"/>
  <c r="U270" i="1" s="1"/>
  <c r="W270" i="1" s="1"/>
  <c r="M270" i="1"/>
  <c r="L270" i="1"/>
  <c r="J270" i="1"/>
  <c r="Q270" i="1" s="1"/>
  <c r="G270" i="1"/>
  <c r="R270" i="1" s="1"/>
  <c r="V269" i="1"/>
  <c r="P269" i="1"/>
  <c r="M269" i="1"/>
  <c r="L269" i="1"/>
  <c r="J269" i="1"/>
  <c r="Q269" i="1" s="1"/>
  <c r="H269" i="1"/>
  <c r="G269" i="1"/>
  <c r="R269" i="1" s="1"/>
  <c r="V268" i="1"/>
  <c r="P268" i="1"/>
  <c r="M268" i="1"/>
  <c r="L268" i="1"/>
  <c r="J268" i="1"/>
  <c r="Q268" i="1" s="1"/>
  <c r="V267" i="1"/>
  <c r="M267" i="1"/>
  <c r="P267" i="1" s="1"/>
  <c r="L267" i="1"/>
  <c r="J267" i="1"/>
  <c r="Q267" i="1" s="1"/>
  <c r="V266" i="1"/>
  <c r="Q266" i="1"/>
  <c r="P266" i="1"/>
  <c r="S266" i="1" s="1"/>
  <c r="U266" i="1" s="1"/>
  <c r="W266" i="1" s="1"/>
  <c r="M266" i="1"/>
  <c r="L266" i="1"/>
  <c r="J266" i="1"/>
  <c r="V265" i="1"/>
  <c r="Q265" i="1"/>
  <c r="M265" i="1"/>
  <c r="P265" i="1" s="1"/>
  <c r="S265" i="1" s="1"/>
  <c r="U265" i="1" s="1"/>
  <c r="W265" i="1" s="1"/>
  <c r="L265" i="1"/>
  <c r="J265" i="1"/>
  <c r="V264" i="1"/>
  <c r="L264" i="1"/>
  <c r="M264" i="1" s="1"/>
  <c r="P264" i="1" s="1"/>
  <c r="J264" i="1"/>
  <c r="Q264" i="1" s="1"/>
  <c r="V263" i="1"/>
  <c r="L263" i="1"/>
  <c r="M263" i="1" s="1"/>
  <c r="P263" i="1" s="1"/>
  <c r="J263" i="1"/>
  <c r="Q263" i="1" s="1"/>
  <c r="V262" i="1"/>
  <c r="P262" i="1"/>
  <c r="S262" i="1" s="1"/>
  <c r="U262" i="1" s="1"/>
  <c r="W262" i="1" s="1"/>
  <c r="M262" i="1"/>
  <c r="L262" i="1"/>
  <c r="J262" i="1"/>
  <c r="Q262" i="1" s="1"/>
  <c r="V261" i="1"/>
  <c r="Q261" i="1"/>
  <c r="L261" i="1"/>
  <c r="M261" i="1" s="1"/>
  <c r="P261" i="1" s="1"/>
  <c r="S261" i="1" s="1"/>
  <c r="U261" i="1" s="1"/>
  <c r="W261" i="1" s="1"/>
  <c r="J261" i="1"/>
  <c r="V254" i="1"/>
  <c r="Q254" i="1"/>
  <c r="O254" i="1"/>
  <c r="L254" i="1"/>
  <c r="M254" i="1" s="1"/>
  <c r="P254" i="1" s="1"/>
  <c r="S254" i="1" s="1"/>
  <c r="U254" i="1" s="1"/>
  <c r="W254" i="1" s="1"/>
  <c r="J254" i="1"/>
  <c r="V253" i="1"/>
  <c r="Q253" i="1"/>
  <c r="O253" i="1"/>
  <c r="P253" i="1" s="1"/>
  <c r="S253" i="1" s="1"/>
  <c r="U253" i="1" s="1"/>
  <c r="W253" i="1" s="1"/>
  <c r="M253" i="1"/>
  <c r="L253" i="1"/>
  <c r="J253" i="1"/>
  <c r="V252" i="1"/>
  <c r="O252" i="1"/>
  <c r="L252" i="1"/>
  <c r="M252" i="1" s="1"/>
  <c r="P252" i="1" s="1"/>
  <c r="J252" i="1"/>
  <c r="Q252" i="1" s="1"/>
  <c r="V251" i="1"/>
  <c r="O251" i="1"/>
  <c r="L251" i="1"/>
  <c r="M251" i="1" s="1"/>
  <c r="P251" i="1" s="1"/>
  <c r="S251" i="1" s="1"/>
  <c r="U251" i="1" s="1"/>
  <c r="W251" i="1" s="1"/>
  <c r="J251" i="1"/>
  <c r="Q251" i="1" s="1"/>
  <c r="V250" i="1"/>
  <c r="Q250" i="1"/>
  <c r="O250" i="1"/>
  <c r="L250" i="1"/>
  <c r="M250" i="1" s="1"/>
  <c r="P250" i="1" s="1"/>
  <c r="S250" i="1" s="1"/>
  <c r="U250" i="1" s="1"/>
  <c r="W250" i="1" s="1"/>
  <c r="J250" i="1"/>
  <c r="V249" i="1"/>
  <c r="Q249" i="1"/>
  <c r="O249" i="1"/>
  <c r="L249" i="1"/>
  <c r="M249" i="1" s="1"/>
  <c r="P249" i="1" s="1"/>
  <c r="S249" i="1" s="1"/>
  <c r="U249" i="1" s="1"/>
  <c r="W249" i="1" s="1"/>
  <c r="J249" i="1"/>
  <c r="V248" i="1"/>
  <c r="Q248" i="1"/>
  <c r="O248" i="1"/>
  <c r="L248" i="1"/>
  <c r="M248" i="1" s="1"/>
  <c r="P248" i="1" s="1"/>
  <c r="S248" i="1" s="1"/>
  <c r="U248" i="1" s="1"/>
  <c r="W248" i="1" s="1"/>
  <c r="J248" i="1"/>
  <c r="V247" i="1"/>
  <c r="Q247" i="1"/>
  <c r="O247" i="1"/>
  <c r="L247" i="1"/>
  <c r="M247" i="1" s="1"/>
  <c r="P247" i="1" s="1"/>
  <c r="S247" i="1" s="1"/>
  <c r="U247" i="1" s="1"/>
  <c r="W247" i="1" s="1"/>
  <c r="J247" i="1"/>
  <c r="V246" i="1"/>
  <c r="R246" i="1"/>
  <c r="Q246" i="1"/>
  <c r="O246" i="1"/>
  <c r="M246" i="1"/>
  <c r="P246" i="1" s="1"/>
  <c r="S246" i="1" s="1"/>
  <c r="U246" i="1" s="1"/>
  <c r="W246" i="1" s="1"/>
  <c r="L246" i="1"/>
  <c r="J246" i="1"/>
  <c r="V245" i="1"/>
  <c r="R245" i="1"/>
  <c r="Q245" i="1"/>
  <c r="O245" i="1"/>
  <c r="L245" i="1"/>
  <c r="M245" i="1" s="1"/>
  <c r="P245" i="1" s="1"/>
  <c r="S245" i="1" s="1"/>
  <c r="U245" i="1" s="1"/>
  <c r="W245" i="1" s="1"/>
  <c r="J245" i="1"/>
  <c r="V244" i="1"/>
  <c r="R244" i="1"/>
  <c r="O244" i="1"/>
  <c r="L244" i="1"/>
  <c r="M244" i="1" s="1"/>
  <c r="P244" i="1" s="1"/>
  <c r="S244" i="1" s="1"/>
  <c r="U244" i="1" s="1"/>
  <c r="W244" i="1" s="1"/>
  <c r="J244" i="1"/>
  <c r="Q244" i="1" s="1"/>
  <c r="V243" i="1"/>
  <c r="O243" i="1"/>
  <c r="L243" i="1"/>
  <c r="M243" i="1" s="1"/>
  <c r="P243" i="1" s="1"/>
  <c r="J243" i="1"/>
  <c r="Q243" i="1" s="1"/>
  <c r="H243" i="1"/>
  <c r="G243" i="1"/>
  <c r="R243" i="1" s="1"/>
  <c r="V242" i="1"/>
  <c r="O242" i="1"/>
  <c r="M242" i="1"/>
  <c r="P242" i="1" s="1"/>
  <c r="J242" i="1"/>
  <c r="Q242" i="1" s="1"/>
  <c r="G242" i="1"/>
  <c r="R242" i="1" s="1"/>
  <c r="V241" i="1"/>
  <c r="O241" i="1"/>
  <c r="M241" i="1"/>
  <c r="P241" i="1" s="1"/>
  <c r="J241" i="1"/>
  <c r="Q241" i="1" s="1"/>
  <c r="G241" i="1"/>
  <c r="R241" i="1" s="1"/>
  <c r="V240" i="1"/>
  <c r="O240" i="1"/>
  <c r="M240" i="1"/>
  <c r="P240" i="1" s="1"/>
  <c r="S240" i="1" s="1"/>
  <c r="U240" i="1" s="1"/>
  <c r="W240" i="1" s="1"/>
  <c r="J240" i="1"/>
  <c r="Q240" i="1" s="1"/>
  <c r="G240" i="1"/>
  <c r="R240" i="1" s="1"/>
  <c r="V239" i="1"/>
  <c r="O239" i="1"/>
  <c r="M239" i="1"/>
  <c r="P239" i="1" s="1"/>
  <c r="J239" i="1"/>
  <c r="Q239" i="1" s="1"/>
  <c r="H239" i="1"/>
  <c r="G239" i="1"/>
  <c r="R239" i="1" s="1"/>
  <c r="V238" i="1"/>
  <c r="O238" i="1"/>
  <c r="M238" i="1"/>
  <c r="P238" i="1" s="1"/>
  <c r="J238" i="1"/>
  <c r="Q238" i="1" s="1"/>
  <c r="V237" i="1"/>
  <c r="O237" i="1"/>
  <c r="M237" i="1"/>
  <c r="P237" i="1" s="1"/>
  <c r="J237" i="1"/>
  <c r="Q237" i="1" s="1"/>
  <c r="V236" i="1"/>
  <c r="O236" i="1"/>
  <c r="M236" i="1"/>
  <c r="P236" i="1" s="1"/>
  <c r="J236" i="1"/>
  <c r="Q236" i="1" s="1"/>
  <c r="V235" i="1"/>
  <c r="Q235" i="1"/>
  <c r="O235" i="1"/>
  <c r="M235" i="1"/>
  <c r="P235" i="1" s="1"/>
  <c r="S235" i="1" s="1"/>
  <c r="U235" i="1" s="1"/>
  <c r="W235" i="1" s="1"/>
  <c r="J235" i="1"/>
  <c r="V234" i="1"/>
  <c r="Q234" i="1"/>
  <c r="P234" i="1"/>
  <c r="S234" i="1" s="1"/>
  <c r="U234" i="1" s="1"/>
  <c r="W234" i="1" s="1"/>
  <c r="O234" i="1"/>
  <c r="M234" i="1"/>
  <c r="J234" i="1"/>
  <c r="V233" i="1"/>
  <c r="Q233" i="1"/>
  <c r="O233" i="1"/>
  <c r="M233" i="1"/>
  <c r="P233" i="1" s="1"/>
  <c r="S233" i="1" s="1"/>
  <c r="U233" i="1" s="1"/>
  <c r="W233" i="1" s="1"/>
  <c r="J233" i="1"/>
  <c r="V232" i="1"/>
  <c r="O232" i="1"/>
  <c r="M232" i="1"/>
  <c r="P232" i="1" s="1"/>
  <c r="S232" i="1" s="1"/>
  <c r="U232" i="1" s="1"/>
  <c r="W232" i="1" s="1"/>
  <c r="J232" i="1"/>
  <c r="Q232" i="1" s="1"/>
  <c r="V231" i="1"/>
  <c r="O231" i="1"/>
  <c r="M231" i="1"/>
  <c r="P231" i="1" s="1"/>
  <c r="J231" i="1"/>
  <c r="Q231" i="1" s="1"/>
  <c r="V224" i="1"/>
  <c r="Q224" i="1"/>
  <c r="O224" i="1"/>
  <c r="M224" i="1"/>
  <c r="P224" i="1" s="1"/>
  <c r="S224" i="1" s="1"/>
  <c r="U224" i="1" s="1"/>
  <c r="W224" i="1" s="1"/>
  <c r="L224" i="1"/>
  <c r="V223" i="1"/>
  <c r="O223" i="1"/>
  <c r="L223" i="1"/>
  <c r="M223" i="1" s="1"/>
  <c r="P223" i="1" s="1"/>
  <c r="J223" i="1"/>
  <c r="Q223" i="1" s="1"/>
  <c r="V222" i="1"/>
  <c r="Q222" i="1"/>
  <c r="O222" i="1"/>
  <c r="L222" i="1"/>
  <c r="M222" i="1" s="1"/>
  <c r="P222" i="1" s="1"/>
  <c r="S222" i="1" s="1"/>
  <c r="U222" i="1" s="1"/>
  <c r="W222" i="1" s="1"/>
  <c r="J222" i="1"/>
  <c r="V221" i="1"/>
  <c r="Q221" i="1"/>
  <c r="O221" i="1"/>
  <c r="P221" i="1" s="1"/>
  <c r="S221" i="1" s="1"/>
  <c r="U221" i="1" s="1"/>
  <c r="W221" i="1" s="1"/>
  <c r="M221" i="1"/>
  <c r="L221" i="1"/>
  <c r="J221" i="1"/>
  <c r="V220" i="1"/>
  <c r="O220" i="1"/>
  <c r="L220" i="1"/>
  <c r="M220" i="1" s="1"/>
  <c r="P220" i="1" s="1"/>
  <c r="Q220" i="1"/>
  <c r="V219" i="1"/>
  <c r="O219" i="1"/>
  <c r="L219" i="1"/>
  <c r="M219" i="1" s="1"/>
  <c r="P219" i="1" s="1"/>
  <c r="J219" i="1"/>
  <c r="Q219" i="1" s="1"/>
  <c r="V218" i="1"/>
  <c r="Q218" i="1"/>
  <c r="O218" i="1"/>
  <c r="M218" i="1"/>
  <c r="P218" i="1" s="1"/>
  <c r="S218" i="1" s="1"/>
  <c r="U218" i="1" s="1"/>
  <c r="W218" i="1" s="1"/>
  <c r="L218" i="1"/>
  <c r="J218" i="1"/>
  <c r="V217" i="1"/>
  <c r="O217" i="1"/>
  <c r="L217" i="1"/>
  <c r="M217" i="1" s="1"/>
  <c r="P217" i="1" s="1"/>
  <c r="S217" i="1" s="1"/>
  <c r="U217" i="1" s="1"/>
  <c r="W217" i="1" s="1"/>
  <c r="J217" i="1"/>
  <c r="Q217" i="1" s="1"/>
  <c r="V216" i="1"/>
  <c r="R216" i="1"/>
  <c r="O216" i="1"/>
  <c r="M216" i="1"/>
  <c r="P216" i="1" s="1"/>
  <c r="L216" i="1"/>
  <c r="Q216" i="1"/>
  <c r="V215" i="1"/>
  <c r="R215" i="1"/>
  <c r="Q215" i="1"/>
  <c r="O215" i="1"/>
  <c r="L215" i="1"/>
  <c r="M215" i="1" s="1"/>
  <c r="P215" i="1" s="1"/>
  <c r="S215" i="1" s="1"/>
  <c r="U215" i="1" s="1"/>
  <c r="W215" i="1" s="1"/>
  <c r="J215" i="1"/>
  <c r="V214" i="1"/>
  <c r="R214" i="1"/>
  <c r="Q214" i="1"/>
  <c r="P214" i="1"/>
  <c r="S214" i="1" s="1"/>
  <c r="U214" i="1" s="1"/>
  <c r="W214" i="1" s="1"/>
  <c r="O214" i="1"/>
  <c r="M214" i="1"/>
  <c r="L214" i="1"/>
  <c r="J214" i="1"/>
  <c r="V213" i="1"/>
  <c r="Q213" i="1"/>
  <c r="O213" i="1"/>
  <c r="P213" i="1" s="1"/>
  <c r="M213" i="1"/>
  <c r="L213" i="1"/>
  <c r="J213" i="1"/>
  <c r="H213" i="1"/>
  <c r="R213" i="1" s="1"/>
  <c r="G213" i="1"/>
  <c r="V212" i="1"/>
  <c r="R212" i="1"/>
  <c r="Q212" i="1"/>
  <c r="P212" i="1"/>
  <c r="S212" i="1" s="1"/>
  <c r="U212" i="1" s="1"/>
  <c r="W212" i="1" s="1"/>
  <c r="O212" i="1"/>
  <c r="M212" i="1"/>
  <c r="L212" i="1"/>
  <c r="G212" i="1"/>
  <c r="V211" i="1"/>
  <c r="R211" i="1"/>
  <c r="Q211" i="1"/>
  <c r="P211" i="1"/>
  <c r="S211" i="1" s="1"/>
  <c r="U211" i="1" s="1"/>
  <c r="W211" i="1" s="1"/>
  <c r="O211" i="1"/>
  <c r="M211" i="1"/>
  <c r="L211" i="1"/>
  <c r="J211" i="1"/>
  <c r="G211" i="1"/>
  <c r="V210" i="1"/>
  <c r="R210" i="1"/>
  <c r="Q210" i="1"/>
  <c r="P210" i="1"/>
  <c r="S210" i="1" s="1"/>
  <c r="U210" i="1" s="1"/>
  <c r="W210" i="1" s="1"/>
  <c r="O210" i="1"/>
  <c r="M210" i="1"/>
  <c r="L210" i="1"/>
  <c r="J210" i="1"/>
  <c r="G210" i="1"/>
  <c r="V209" i="1"/>
  <c r="R209" i="1"/>
  <c r="Q209" i="1"/>
  <c r="P209" i="1"/>
  <c r="S209" i="1" s="1"/>
  <c r="U209" i="1" s="1"/>
  <c r="W209" i="1" s="1"/>
  <c r="O209" i="1"/>
  <c r="M209" i="1"/>
  <c r="L209" i="1"/>
  <c r="J209" i="1"/>
  <c r="H209" i="1"/>
  <c r="G209" i="1"/>
  <c r="V208" i="1"/>
  <c r="Q208" i="1"/>
  <c r="P208" i="1"/>
  <c r="S208" i="1" s="1"/>
  <c r="U208" i="1" s="1"/>
  <c r="W208" i="1" s="1"/>
  <c r="O208" i="1"/>
  <c r="M208" i="1"/>
  <c r="L208" i="1"/>
  <c r="V207" i="1"/>
  <c r="Q207" i="1"/>
  <c r="O207" i="1"/>
  <c r="M207" i="1"/>
  <c r="P207" i="1" s="1"/>
  <c r="S207" i="1" s="1"/>
  <c r="U207" i="1" s="1"/>
  <c r="W207" i="1" s="1"/>
  <c r="L207" i="1"/>
  <c r="J207" i="1"/>
  <c r="V206" i="1"/>
  <c r="O206" i="1"/>
  <c r="L206" i="1"/>
  <c r="M206" i="1" s="1"/>
  <c r="P206" i="1" s="1"/>
  <c r="J206" i="1"/>
  <c r="Q206" i="1" s="1"/>
  <c r="V205" i="1"/>
  <c r="O205" i="1"/>
  <c r="L205" i="1"/>
  <c r="M205" i="1" s="1"/>
  <c r="P205" i="1" s="1"/>
  <c r="J205" i="1"/>
  <c r="Q205" i="1" s="1"/>
  <c r="V204" i="1"/>
  <c r="O204" i="1"/>
  <c r="L204" i="1"/>
  <c r="M204" i="1" s="1"/>
  <c r="P204" i="1" s="1"/>
  <c r="Q204" i="1"/>
  <c r="V203" i="1"/>
  <c r="O203" i="1"/>
  <c r="M203" i="1"/>
  <c r="P203" i="1" s="1"/>
  <c r="S203" i="1" s="1"/>
  <c r="U203" i="1" s="1"/>
  <c r="W203" i="1" s="1"/>
  <c r="L203" i="1"/>
  <c r="J203" i="1"/>
  <c r="Q203" i="1" s="1"/>
  <c r="V202" i="1"/>
  <c r="Q202" i="1"/>
  <c r="P202" i="1"/>
  <c r="S202" i="1" s="1"/>
  <c r="U202" i="1" s="1"/>
  <c r="W202" i="1" s="1"/>
  <c r="O202" i="1"/>
  <c r="M202" i="1"/>
  <c r="L202" i="1"/>
  <c r="J202" i="1"/>
  <c r="V201" i="1"/>
  <c r="Q201" i="1"/>
  <c r="O201" i="1"/>
  <c r="P201" i="1" s="1"/>
  <c r="S201" i="1" s="1"/>
  <c r="U201" i="1" s="1"/>
  <c r="W201" i="1" s="1"/>
  <c r="M201" i="1"/>
  <c r="L201" i="1"/>
  <c r="J201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M77" i="1" s="1"/>
  <c r="P77" i="1" s="1"/>
  <c r="L76" i="1"/>
  <c r="L75" i="1"/>
  <c r="L74" i="1"/>
  <c r="L73" i="1"/>
  <c r="L72" i="1"/>
  <c r="L71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V184" i="1"/>
  <c r="M184" i="1"/>
  <c r="P184" i="1" s="1"/>
  <c r="Q184" i="1"/>
  <c r="V183" i="1"/>
  <c r="M183" i="1"/>
  <c r="P183" i="1" s="1"/>
  <c r="Q183" i="1"/>
  <c r="V182" i="1"/>
  <c r="M182" i="1"/>
  <c r="P182" i="1" s="1"/>
  <c r="Q182" i="1"/>
  <c r="V181" i="1"/>
  <c r="Q181" i="1"/>
  <c r="M181" i="1"/>
  <c r="P181" i="1" s="1"/>
  <c r="S181" i="1" s="1"/>
  <c r="U181" i="1" s="1"/>
  <c r="W181" i="1" s="1"/>
  <c r="V180" i="1"/>
  <c r="Q180" i="1"/>
  <c r="M180" i="1"/>
  <c r="P180" i="1" s="1"/>
  <c r="V179" i="1"/>
  <c r="M179" i="1"/>
  <c r="P179" i="1" s="1"/>
  <c r="Q179" i="1"/>
  <c r="V178" i="1"/>
  <c r="M178" i="1"/>
  <c r="P178" i="1" s="1"/>
  <c r="Q178" i="1"/>
  <c r="V177" i="1"/>
  <c r="M177" i="1"/>
  <c r="P177" i="1" s="1"/>
  <c r="Q177" i="1"/>
  <c r="V176" i="1"/>
  <c r="R176" i="1"/>
  <c r="M176" i="1"/>
  <c r="P176" i="1" s="1"/>
  <c r="Q176" i="1"/>
  <c r="V175" i="1"/>
  <c r="R175" i="1"/>
  <c r="M175" i="1"/>
  <c r="P175" i="1" s="1"/>
  <c r="Q175" i="1"/>
  <c r="V174" i="1"/>
  <c r="R174" i="1"/>
  <c r="Q174" i="1"/>
  <c r="M174" i="1"/>
  <c r="P174" i="1" s="1"/>
  <c r="V173" i="1"/>
  <c r="R173" i="1"/>
  <c r="Q173" i="1"/>
  <c r="M173" i="1"/>
  <c r="P173" i="1" s="1"/>
  <c r="H173" i="1"/>
  <c r="G173" i="1"/>
  <c r="V172" i="1"/>
  <c r="R172" i="1"/>
  <c r="Q172" i="1"/>
  <c r="M172" i="1"/>
  <c r="P172" i="1" s="1"/>
  <c r="S172" i="1" s="1"/>
  <c r="U172" i="1" s="1"/>
  <c r="W172" i="1" s="1"/>
  <c r="G172" i="1"/>
  <c r="V171" i="1"/>
  <c r="R171" i="1"/>
  <c r="Q171" i="1"/>
  <c r="M171" i="1"/>
  <c r="P171" i="1" s="1"/>
  <c r="G171" i="1"/>
  <c r="V170" i="1"/>
  <c r="R170" i="1"/>
  <c r="Q170" i="1"/>
  <c r="M170" i="1"/>
  <c r="P170" i="1" s="1"/>
  <c r="G170" i="1"/>
  <c r="V169" i="1"/>
  <c r="R169" i="1"/>
  <c r="Q169" i="1"/>
  <c r="M169" i="1"/>
  <c r="P169" i="1" s="1"/>
  <c r="S169" i="1" s="1"/>
  <c r="U169" i="1" s="1"/>
  <c r="W169" i="1" s="1"/>
  <c r="H169" i="1"/>
  <c r="G169" i="1"/>
  <c r="V168" i="1"/>
  <c r="Q168" i="1"/>
  <c r="M168" i="1"/>
  <c r="P168" i="1" s="1"/>
  <c r="S168" i="1" s="1"/>
  <c r="U168" i="1" s="1"/>
  <c r="W168" i="1" s="1"/>
  <c r="V167" i="1"/>
  <c r="Q167" i="1"/>
  <c r="M167" i="1"/>
  <c r="V166" i="1"/>
  <c r="Q166" i="1"/>
  <c r="M166" i="1"/>
  <c r="P166" i="1" s="1"/>
  <c r="S166" i="1" s="1"/>
  <c r="U166" i="1" s="1"/>
  <c r="W166" i="1" s="1"/>
  <c r="V165" i="1"/>
  <c r="M165" i="1"/>
  <c r="P165" i="1" s="1"/>
  <c r="Q165" i="1"/>
  <c r="V164" i="1"/>
  <c r="M164" i="1"/>
  <c r="P164" i="1" s="1"/>
  <c r="Q164" i="1"/>
  <c r="V163" i="1"/>
  <c r="M163" i="1"/>
  <c r="P163" i="1" s="1"/>
  <c r="Q163" i="1"/>
  <c r="V162" i="1"/>
  <c r="Q162" i="1"/>
  <c r="M162" i="1"/>
  <c r="P162" i="1" s="1"/>
  <c r="S162" i="1" s="1"/>
  <c r="U162" i="1" s="1"/>
  <c r="W162" i="1" s="1"/>
  <c r="V161" i="1"/>
  <c r="Q161" i="1"/>
  <c r="M161" i="1"/>
  <c r="P161" i="1" s="1"/>
  <c r="V154" i="1"/>
  <c r="Q154" i="1"/>
  <c r="M154" i="1"/>
  <c r="P154" i="1" s="1"/>
  <c r="S154" i="1" s="1"/>
  <c r="U154" i="1" s="1"/>
  <c r="W154" i="1" s="1"/>
  <c r="V153" i="1"/>
  <c r="M153" i="1"/>
  <c r="P153" i="1" s="1"/>
  <c r="Q153" i="1"/>
  <c r="V152" i="1"/>
  <c r="M152" i="1"/>
  <c r="P152" i="1" s="1"/>
  <c r="Q152" i="1"/>
  <c r="V151" i="1"/>
  <c r="Q151" i="1"/>
  <c r="M151" i="1"/>
  <c r="P151" i="1" s="1"/>
  <c r="S151" i="1" s="1"/>
  <c r="U151" i="1" s="1"/>
  <c r="W151" i="1" s="1"/>
  <c r="V150" i="1"/>
  <c r="Q150" i="1"/>
  <c r="M150" i="1"/>
  <c r="P150" i="1" s="1"/>
  <c r="V149" i="1"/>
  <c r="M149" i="1"/>
  <c r="P149" i="1" s="1"/>
  <c r="Q149" i="1"/>
  <c r="V148" i="1"/>
  <c r="M148" i="1"/>
  <c r="P148" i="1" s="1"/>
  <c r="Q148" i="1"/>
  <c r="V147" i="1"/>
  <c r="M147" i="1"/>
  <c r="P147" i="1" s="1"/>
  <c r="Q147" i="1"/>
  <c r="V146" i="1"/>
  <c r="R146" i="1"/>
  <c r="M146" i="1"/>
  <c r="P146" i="1" s="1"/>
  <c r="Q146" i="1"/>
  <c r="V145" i="1"/>
  <c r="R145" i="1"/>
  <c r="M145" i="1"/>
  <c r="P145" i="1" s="1"/>
  <c r="Q145" i="1"/>
  <c r="V144" i="1"/>
  <c r="R144" i="1"/>
  <c r="Q144" i="1"/>
  <c r="M144" i="1"/>
  <c r="P144" i="1" s="1"/>
  <c r="V143" i="1"/>
  <c r="R143" i="1"/>
  <c r="Q143" i="1"/>
  <c r="M143" i="1"/>
  <c r="P143" i="1" s="1"/>
  <c r="H143" i="1"/>
  <c r="G143" i="1"/>
  <c r="V142" i="1"/>
  <c r="R142" i="1"/>
  <c r="Q142" i="1"/>
  <c r="M142" i="1"/>
  <c r="P142" i="1" s="1"/>
  <c r="G142" i="1"/>
  <c r="V141" i="1"/>
  <c r="R141" i="1"/>
  <c r="Q141" i="1"/>
  <c r="M141" i="1"/>
  <c r="P141" i="1" s="1"/>
  <c r="G141" i="1"/>
  <c r="V140" i="1"/>
  <c r="R140" i="1"/>
  <c r="Q140" i="1"/>
  <c r="M140" i="1"/>
  <c r="P140" i="1" s="1"/>
  <c r="G140" i="1"/>
  <c r="V139" i="1"/>
  <c r="R139" i="1"/>
  <c r="Q139" i="1"/>
  <c r="M139" i="1"/>
  <c r="P139" i="1" s="1"/>
  <c r="H139" i="1"/>
  <c r="G139" i="1"/>
  <c r="V138" i="1"/>
  <c r="Q138" i="1"/>
  <c r="M138" i="1"/>
  <c r="P138" i="1" s="1"/>
  <c r="V137" i="1"/>
  <c r="Q137" i="1"/>
  <c r="M137" i="1"/>
  <c r="P137" i="1" s="1"/>
  <c r="V136" i="1"/>
  <c r="Q136" i="1"/>
  <c r="M136" i="1"/>
  <c r="P136" i="1" s="1"/>
  <c r="S136" i="1" s="1"/>
  <c r="U136" i="1" s="1"/>
  <c r="W136" i="1" s="1"/>
  <c r="V135" i="1"/>
  <c r="M135" i="1"/>
  <c r="P135" i="1" s="1"/>
  <c r="Q135" i="1"/>
  <c r="V134" i="1"/>
  <c r="M134" i="1"/>
  <c r="P134" i="1" s="1"/>
  <c r="Q134" i="1"/>
  <c r="V133" i="1"/>
  <c r="M133" i="1"/>
  <c r="P133" i="1" s="1"/>
  <c r="Q133" i="1"/>
  <c r="V132" i="1"/>
  <c r="Q132" i="1"/>
  <c r="M132" i="1"/>
  <c r="P132" i="1" s="1"/>
  <c r="S132" i="1" s="1"/>
  <c r="U132" i="1" s="1"/>
  <c r="W132" i="1" s="1"/>
  <c r="V131" i="1"/>
  <c r="Q131" i="1"/>
  <c r="M131" i="1"/>
  <c r="P131" i="1" s="1"/>
  <c r="V124" i="1"/>
  <c r="M124" i="1"/>
  <c r="P124" i="1" s="1"/>
  <c r="Q124" i="1"/>
  <c r="V123" i="1"/>
  <c r="M123" i="1"/>
  <c r="P123" i="1" s="1"/>
  <c r="Q123" i="1"/>
  <c r="V122" i="1"/>
  <c r="M122" i="1"/>
  <c r="P122" i="1" s="1"/>
  <c r="Q122" i="1"/>
  <c r="V121" i="1"/>
  <c r="Q121" i="1"/>
  <c r="M121" i="1"/>
  <c r="P121" i="1" s="1"/>
  <c r="V120" i="1"/>
  <c r="Q120" i="1"/>
  <c r="M120" i="1"/>
  <c r="V119" i="1"/>
  <c r="M119" i="1"/>
  <c r="P119" i="1" s="1"/>
  <c r="Q119" i="1"/>
  <c r="V118" i="1"/>
  <c r="M118" i="1"/>
  <c r="P118" i="1" s="1"/>
  <c r="Q118" i="1"/>
  <c r="V117" i="1"/>
  <c r="M117" i="1"/>
  <c r="P117" i="1" s="1"/>
  <c r="Q117" i="1"/>
  <c r="V116" i="1"/>
  <c r="R116" i="1"/>
  <c r="M116" i="1"/>
  <c r="P116" i="1" s="1"/>
  <c r="Q116" i="1"/>
  <c r="V115" i="1"/>
  <c r="R115" i="1"/>
  <c r="M115" i="1"/>
  <c r="P115" i="1" s="1"/>
  <c r="Q115" i="1"/>
  <c r="V114" i="1"/>
  <c r="R114" i="1"/>
  <c r="Q114" i="1"/>
  <c r="M114" i="1"/>
  <c r="P114" i="1" s="1"/>
  <c r="V113" i="1"/>
  <c r="Q113" i="1"/>
  <c r="M113" i="1"/>
  <c r="P113" i="1" s="1"/>
  <c r="H113" i="1"/>
  <c r="G113" i="1"/>
  <c r="R113" i="1" s="1"/>
  <c r="V112" i="1"/>
  <c r="R112" i="1"/>
  <c r="Q112" i="1"/>
  <c r="M112" i="1"/>
  <c r="P112" i="1" s="1"/>
  <c r="G112" i="1"/>
  <c r="V111" i="1"/>
  <c r="R111" i="1"/>
  <c r="Q111" i="1"/>
  <c r="M111" i="1"/>
  <c r="P111" i="1" s="1"/>
  <c r="G111" i="1"/>
  <c r="V110" i="1"/>
  <c r="R110" i="1"/>
  <c r="Q110" i="1"/>
  <c r="M110" i="1"/>
  <c r="P110" i="1" s="1"/>
  <c r="G110" i="1"/>
  <c r="V109" i="1"/>
  <c r="R109" i="1"/>
  <c r="Q109" i="1"/>
  <c r="M109" i="1"/>
  <c r="P109" i="1" s="1"/>
  <c r="S109" i="1" s="1"/>
  <c r="U109" i="1" s="1"/>
  <c r="W109" i="1" s="1"/>
  <c r="H109" i="1"/>
  <c r="G109" i="1"/>
  <c r="V108" i="1"/>
  <c r="Q108" i="1"/>
  <c r="M108" i="1"/>
  <c r="P108" i="1" s="1"/>
  <c r="V107" i="1"/>
  <c r="Q107" i="1"/>
  <c r="M107" i="1"/>
  <c r="P107" i="1" s="1"/>
  <c r="S107" i="1" s="1"/>
  <c r="U107" i="1" s="1"/>
  <c r="W107" i="1" s="1"/>
  <c r="V106" i="1"/>
  <c r="Q106" i="1"/>
  <c r="M106" i="1"/>
  <c r="P106" i="1" s="1"/>
  <c r="S106" i="1" s="1"/>
  <c r="U106" i="1" s="1"/>
  <c r="W106" i="1" s="1"/>
  <c r="V105" i="1"/>
  <c r="M105" i="1"/>
  <c r="P105" i="1" s="1"/>
  <c r="Q105" i="1"/>
  <c r="V104" i="1"/>
  <c r="M104" i="1"/>
  <c r="P104" i="1" s="1"/>
  <c r="Q104" i="1"/>
  <c r="V103" i="1"/>
  <c r="M103" i="1"/>
  <c r="P103" i="1" s="1"/>
  <c r="Q103" i="1"/>
  <c r="V102" i="1"/>
  <c r="Q102" i="1"/>
  <c r="M102" i="1"/>
  <c r="P102" i="1" s="1"/>
  <c r="V101" i="1"/>
  <c r="Q101" i="1"/>
  <c r="P101" i="1"/>
  <c r="M101" i="1"/>
  <c r="J94" i="1"/>
  <c r="J93" i="1"/>
  <c r="J92" i="1"/>
  <c r="J91" i="1"/>
  <c r="J90" i="1"/>
  <c r="J89" i="1"/>
  <c r="J88" i="1"/>
  <c r="J87" i="1"/>
  <c r="J86" i="1"/>
  <c r="J85" i="1"/>
  <c r="Q85" i="1" s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V94" i="1"/>
  <c r="M94" i="1"/>
  <c r="P94" i="1" s="1"/>
  <c r="Q94" i="1"/>
  <c r="V93" i="1"/>
  <c r="M93" i="1"/>
  <c r="P93" i="1" s="1"/>
  <c r="Q93" i="1"/>
  <c r="V92" i="1"/>
  <c r="M92" i="1"/>
  <c r="P92" i="1" s="1"/>
  <c r="Q92" i="1"/>
  <c r="V91" i="1"/>
  <c r="Q91" i="1"/>
  <c r="M91" i="1"/>
  <c r="P91" i="1" s="1"/>
  <c r="V90" i="1"/>
  <c r="Q90" i="1"/>
  <c r="M90" i="1"/>
  <c r="P90" i="1" s="1"/>
  <c r="V89" i="1"/>
  <c r="M89" i="1"/>
  <c r="P89" i="1" s="1"/>
  <c r="S89" i="1" s="1"/>
  <c r="U89" i="1" s="1"/>
  <c r="W89" i="1" s="1"/>
  <c r="Q89" i="1"/>
  <c r="V88" i="1"/>
  <c r="M88" i="1"/>
  <c r="P88" i="1" s="1"/>
  <c r="Q88" i="1"/>
  <c r="V87" i="1"/>
  <c r="M87" i="1"/>
  <c r="P87" i="1" s="1"/>
  <c r="Q87" i="1"/>
  <c r="V86" i="1"/>
  <c r="R86" i="1"/>
  <c r="M86" i="1"/>
  <c r="P86" i="1" s="1"/>
  <c r="Q86" i="1"/>
  <c r="V85" i="1"/>
  <c r="R85" i="1"/>
  <c r="M85" i="1"/>
  <c r="P85" i="1" s="1"/>
  <c r="V84" i="1"/>
  <c r="R84" i="1"/>
  <c r="Q84" i="1"/>
  <c r="M84" i="1"/>
  <c r="P84" i="1" s="1"/>
  <c r="V83" i="1"/>
  <c r="R83" i="1"/>
  <c r="Q83" i="1"/>
  <c r="M83" i="1"/>
  <c r="P83" i="1" s="1"/>
  <c r="H83" i="1"/>
  <c r="G83" i="1"/>
  <c r="V82" i="1"/>
  <c r="R82" i="1"/>
  <c r="Q82" i="1"/>
  <c r="M82" i="1"/>
  <c r="P82" i="1" s="1"/>
  <c r="G82" i="1"/>
  <c r="V81" i="1"/>
  <c r="R81" i="1"/>
  <c r="Q81" i="1"/>
  <c r="M81" i="1"/>
  <c r="P81" i="1" s="1"/>
  <c r="G81" i="1"/>
  <c r="V80" i="1"/>
  <c r="R80" i="1"/>
  <c r="Q80" i="1"/>
  <c r="M80" i="1"/>
  <c r="P80" i="1" s="1"/>
  <c r="G80" i="1"/>
  <c r="V79" i="1"/>
  <c r="R79" i="1"/>
  <c r="Q79" i="1"/>
  <c r="M79" i="1"/>
  <c r="P79" i="1" s="1"/>
  <c r="H79" i="1"/>
  <c r="G79" i="1"/>
  <c r="V78" i="1"/>
  <c r="Q78" i="1"/>
  <c r="M78" i="1"/>
  <c r="P78" i="1" s="1"/>
  <c r="V77" i="1"/>
  <c r="Q77" i="1"/>
  <c r="V76" i="1"/>
  <c r="Q76" i="1"/>
  <c r="M76" i="1"/>
  <c r="P76" i="1" s="1"/>
  <c r="S76" i="1" s="1"/>
  <c r="U76" i="1" s="1"/>
  <c r="W76" i="1" s="1"/>
  <c r="V75" i="1"/>
  <c r="M75" i="1"/>
  <c r="P75" i="1" s="1"/>
  <c r="Q75" i="1"/>
  <c r="V74" i="1"/>
  <c r="M74" i="1"/>
  <c r="P74" i="1" s="1"/>
  <c r="Q74" i="1"/>
  <c r="V73" i="1"/>
  <c r="M73" i="1"/>
  <c r="P73" i="1" s="1"/>
  <c r="Q73" i="1"/>
  <c r="V72" i="1"/>
  <c r="Q72" i="1"/>
  <c r="M72" i="1"/>
  <c r="P72" i="1" s="1"/>
  <c r="S72" i="1" s="1"/>
  <c r="U72" i="1" s="1"/>
  <c r="W72" i="1" s="1"/>
  <c r="V71" i="1"/>
  <c r="Q71" i="1"/>
  <c r="M71" i="1"/>
  <c r="P71" i="1" s="1"/>
  <c r="J50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M49" i="1" s="1"/>
  <c r="P49" i="1" s="1"/>
  <c r="L48" i="1"/>
  <c r="L47" i="1"/>
  <c r="L46" i="1"/>
  <c r="L45" i="1"/>
  <c r="L44" i="1"/>
  <c r="L43" i="1"/>
  <c r="L42" i="1"/>
  <c r="L41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49" i="1"/>
  <c r="J48" i="1"/>
  <c r="J47" i="1"/>
  <c r="J46" i="1"/>
  <c r="J45" i="1"/>
  <c r="J44" i="1"/>
  <c r="J43" i="1"/>
  <c r="J42" i="1"/>
  <c r="J41" i="1"/>
  <c r="J15" i="1"/>
  <c r="V64" i="1"/>
  <c r="M64" i="1"/>
  <c r="P64" i="1" s="1"/>
  <c r="Q64" i="1"/>
  <c r="V63" i="1"/>
  <c r="M63" i="1"/>
  <c r="P63" i="1" s="1"/>
  <c r="Q63" i="1"/>
  <c r="V62" i="1"/>
  <c r="M62" i="1"/>
  <c r="P62" i="1" s="1"/>
  <c r="Q62" i="1"/>
  <c r="V61" i="1"/>
  <c r="Q61" i="1"/>
  <c r="M61" i="1"/>
  <c r="P61" i="1" s="1"/>
  <c r="V60" i="1"/>
  <c r="Q60" i="1"/>
  <c r="M60" i="1"/>
  <c r="V59" i="1"/>
  <c r="Q59" i="1"/>
  <c r="M59" i="1"/>
  <c r="P59" i="1" s="1"/>
  <c r="V58" i="1"/>
  <c r="M58" i="1"/>
  <c r="P58" i="1" s="1"/>
  <c r="Q58" i="1"/>
  <c r="V57" i="1"/>
  <c r="M57" i="1"/>
  <c r="P57" i="1" s="1"/>
  <c r="Q57" i="1"/>
  <c r="V56" i="1"/>
  <c r="R56" i="1"/>
  <c r="M56" i="1"/>
  <c r="P56" i="1" s="1"/>
  <c r="Q56" i="1"/>
  <c r="V55" i="1"/>
  <c r="R55" i="1"/>
  <c r="M55" i="1"/>
  <c r="P55" i="1" s="1"/>
  <c r="Q55" i="1"/>
  <c r="V54" i="1"/>
  <c r="R54" i="1"/>
  <c r="Q54" i="1"/>
  <c r="M54" i="1"/>
  <c r="P54" i="1" s="1"/>
  <c r="V53" i="1"/>
  <c r="R53" i="1"/>
  <c r="Q53" i="1"/>
  <c r="M53" i="1"/>
  <c r="P53" i="1" s="1"/>
  <c r="H53" i="1"/>
  <c r="G53" i="1"/>
  <c r="V52" i="1"/>
  <c r="R52" i="1"/>
  <c r="Q52" i="1"/>
  <c r="M52" i="1"/>
  <c r="P52" i="1" s="1"/>
  <c r="G52" i="1"/>
  <c r="V51" i="1"/>
  <c r="R51" i="1"/>
  <c r="Q51" i="1"/>
  <c r="M51" i="1"/>
  <c r="P51" i="1" s="1"/>
  <c r="G51" i="1"/>
  <c r="V50" i="1"/>
  <c r="R50" i="1"/>
  <c r="Q50" i="1"/>
  <c r="M50" i="1"/>
  <c r="P50" i="1" s="1"/>
  <c r="G50" i="1"/>
  <c r="V49" i="1"/>
  <c r="Q49" i="1"/>
  <c r="H49" i="1"/>
  <c r="G49" i="1"/>
  <c r="R49" i="1" s="1"/>
  <c r="V48" i="1"/>
  <c r="Q48" i="1"/>
  <c r="M48" i="1"/>
  <c r="P48" i="1" s="1"/>
  <c r="V47" i="1"/>
  <c r="Q47" i="1"/>
  <c r="P47" i="1"/>
  <c r="M47" i="1"/>
  <c r="V46" i="1"/>
  <c r="Q46" i="1"/>
  <c r="M46" i="1"/>
  <c r="P46" i="1" s="1"/>
  <c r="V45" i="1"/>
  <c r="M45" i="1"/>
  <c r="P45" i="1" s="1"/>
  <c r="Q45" i="1"/>
  <c r="V44" i="1"/>
  <c r="M44" i="1"/>
  <c r="P44" i="1" s="1"/>
  <c r="Q44" i="1"/>
  <c r="V43" i="1"/>
  <c r="M43" i="1"/>
  <c r="P43" i="1" s="1"/>
  <c r="Q43" i="1"/>
  <c r="V42" i="1"/>
  <c r="Q42" i="1"/>
  <c r="M42" i="1"/>
  <c r="P42" i="1" s="1"/>
  <c r="V41" i="1"/>
  <c r="Q41" i="1"/>
  <c r="M41" i="1"/>
  <c r="P41" i="1" s="1"/>
  <c r="P19" i="1"/>
  <c r="P13" i="1"/>
  <c r="P14" i="1"/>
  <c r="P15" i="1"/>
  <c r="P16" i="1"/>
  <c r="P17" i="1"/>
  <c r="P18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12" i="1"/>
  <c r="P11" i="1"/>
  <c r="G21" i="1"/>
  <c r="G22" i="1"/>
  <c r="R22" i="1" s="1"/>
  <c r="G23" i="1"/>
  <c r="G20" i="1"/>
  <c r="R20" i="1" s="1"/>
  <c r="G19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R24" i="1"/>
  <c r="R25" i="1"/>
  <c r="R26" i="1"/>
  <c r="R21" i="1"/>
  <c r="S302" i="1" l="1"/>
  <c r="U302" i="1" s="1"/>
  <c r="W302" i="1" s="1"/>
  <c r="S304" i="1"/>
  <c r="U304" i="1" s="1"/>
  <c r="W304" i="1" s="1"/>
  <c r="R303" i="1"/>
  <c r="S299" i="1"/>
  <c r="U299" i="1" s="1"/>
  <c r="W299" i="1" s="1"/>
  <c r="S300" i="1"/>
  <c r="U300" i="1" s="1"/>
  <c r="W300" i="1" s="1"/>
  <c r="S238" i="1"/>
  <c r="U238" i="1" s="1"/>
  <c r="W238" i="1" s="1"/>
  <c r="S276" i="1"/>
  <c r="U276" i="1" s="1"/>
  <c r="W276" i="1" s="1"/>
  <c r="S231" i="1"/>
  <c r="U231" i="1" s="1"/>
  <c r="W231" i="1" s="1"/>
  <c r="S223" i="1"/>
  <c r="U223" i="1" s="1"/>
  <c r="W223" i="1" s="1"/>
  <c r="S243" i="1"/>
  <c r="U243" i="1" s="1"/>
  <c r="W243" i="1" s="1"/>
  <c r="S263" i="1"/>
  <c r="U263" i="1" s="1"/>
  <c r="W263" i="1" s="1"/>
  <c r="S294" i="1"/>
  <c r="U294" i="1" s="1"/>
  <c r="W294" i="1" s="1"/>
  <c r="S313" i="1"/>
  <c r="U313" i="1" s="1"/>
  <c r="W313" i="1" s="1"/>
  <c r="S204" i="1"/>
  <c r="U204" i="1" s="1"/>
  <c r="W204" i="1" s="1"/>
  <c r="X201" i="1" s="1"/>
  <c r="S236" i="1"/>
  <c r="U236" i="1" s="1"/>
  <c r="W236" i="1" s="1"/>
  <c r="S241" i="1"/>
  <c r="U241" i="1" s="1"/>
  <c r="W241" i="1" s="1"/>
  <c r="X261" i="1"/>
  <c r="S269" i="1"/>
  <c r="U269" i="1" s="1"/>
  <c r="W269" i="1" s="1"/>
  <c r="S216" i="1"/>
  <c r="U216" i="1" s="1"/>
  <c r="W216" i="1" s="1"/>
  <c r="S267" i="1"/>
  <c r="U267" i="1" s="1"/>
  <c r="W267" i="1" s="1"/>
  <c r="S239" i="1"/>
  <c r="U239" i="1" s="1"/>
  <c r="W239" i="1" s="1"/>
  <c r="S271" i="1"/>
  <c r="U271" i="1" s="1"/>
  <c r="W271" i="1" s="1"/>
  <c r="S273" i="1"/>
  <c r="U273" i="1" s="1"/>
  <c r="W273" i="1" s="1"/>
  <c r="S264" i="1"/>
  <c r="U264" i="1" s="1"/>
  <c r="W264" i="1" s="1"/>
  <c r="S206" i="1"/>
  <c r="U206" i="1" s="1"/>
  <c r="W206" i="1" s="1"/>
  <c r="S205" i="1"/>
  <c r="U205" i="1" s="1"/>
  <c r="W205" i="1" s="1"/>
  <c r="S219" i="1"/>
  <c r="U219" i="1" s="1"/>
  <c r="W219" i="1" s="1"/>
  <c r="S237" i="1"/>
  <c r="U237" i="1" s="1"/>
  <c r="W237" i="1" s="1"/>
  <c r="S268" i="1"/>
  <c r="U268" i="1" s="1"/>
  <c r="W268" i="1" s="1"/>
  <c r="S252" i="1"/>
  <c r="U252" i="1" s="1"/>
  <c r="W252" i="1" s="1"/>
  <c r="S242" i="1"/>
  <c r="U242" i="1" s="1"/>
  <c r="W242" i="1" s="1"/>
  <c r="S303" i="1"/>
  <c r="U303" i="1" s="1"/>
  <c r="W303" i="1" s="1"/>
  <c r="S220" i="1"/>
  <c r="U220" i="1" s="1"/>
  <c r="W220" i="1" s="1"/>
  <c r="S213" i="1"/>
  <c r="U213" i="1" s="1"/>
  <c r="W213" i="1" s="1"/>
  <c r="P167" i="1"/>
  <c r="S167" i="1" s="1"/>
  <c r="U167" i="1" s="1"/>
  <c r="W167" i="1" s="1"/>
  <c r="P120" i="1"/>
  <c r="S120" i="1" s="1"/>
  <c r="U120" i="1" s="1"/>
  <c r="W120" i="1" s="1"/>
  <c r="S101" i="1"/>
  <c r="U101" i="1" s="1"/>
  <c r="W101" i="1" s="1"/>
  <c r="S182" i="1"/>
  <c r="U182" i="1" s="1"/>
  <c r="W182" i="1" s="1"/>
  <c r="S180" i="1"/>
  <c r="U180" i="1" s="1"/>
  <c r="W180" i="1" s="1"/>
  <c r="S175" i="1"/>
  <c r="U175" i="1" s="1"/>
  <c r="W175" i="1" s="1"/>
  <c r="S174" i="1"/>
  <c r="U174" i="1" s="1"/>
  <c r="W174" i="1" s="1"/>
  <c r="S173" i="1"/>
  <c r="U173" i="1" s="1"/>
  <c r="W173" i="1" s="1"/>
  <c r="S171" i="1"/>
  <c r="U171" i="1" s="1"/>
  <c r="W171" i="1" s="1"/>
  <c r="S170" i="1"/>
  <c r="U170" i="1" s="1"/>
  <c r="W170" i="1" s="1"/>
  <c r="S163" i="1"/>
  <c r="U163" i="1" s="1"/>
  <c r="W163" i="1" s="1"/>
  <c r="S161" i="1"/>
  <c r="U161" i="1" s="1"/>
  <c r="W161" i="1" s="1"/>
  <c r="S150" i="1"/>
  <c r="U150" i="1" s="1"/>
  <c r="W150" i="1" s="1"/>
  <c r="S149" i="1"/>
  <c r="U149" i="1" s="1"/>
  <c r="W149" i="1" s="1"/>
  <c r="S145" i="1"/>
  <c r="U145" i="1" s="1"/>
  <c r="W145" i="1" s="1"/>
  <c r="S144" i="1"/>
  <c r="U144" i="1" s="1"/>
  <c r="W144" i="1" s="1"/>
  <c r="S143" i="1"/>
  <c r="U143" i="1" s="1"/>
  <c r="W143" i="1" s="1"/>
  <c r="S142" i="1"/>
  <c r="U142" i="1" s="1"/>
  <c r="W142" i="1" s="1"/>
  <c r="S141" i="1"/>
  <c r="U141" i="1" s="1"/>
  <c r="W141" i="1" s="1"/>
  <c r="S140" i="1"/>
  <c r="U140" i="1" s="1"/>
  <c r="W140" i="1" s="1"/>
  <c r="S139" i="1"/>
  <c r="U139" i="1" s="1"/>
  <c r="W139" i="1" s="1"/>
  <c r="S138" i="1"/>
  <c r="U138" i="1" s="1"/>
  <c r="W138" i="1" s="1"/>
  <c r="S137" i="1"/>
  <c r="U137" i="1" s="1"/>
  <c r="W137" i="1" s="1"/>
  <c r="S134" i="1"/>
  <c r="U134" i="1" s="1"/>
  <c r="W134" i="1" s="1"/>
  <c r="S131" i="1"/>
  <c r="U131" i="1" s="1"/>
  <c r="W131" i="1" s="1"/>
  <c r="S124" i="1"/>
  <c r="U124" i="1" s="1"/>
  <c r="W124" i="1" s="1"/>
  <c r="S122" i="1"/>
  <c r="U122" i="1" s="1"/>
  <c r="W122" i="1" s="1"/>
  <c r="S121" i="1"/>
  <c r="U121" i="1" s="1"/>
  <c r="W121" i="1" s="1"/>
  <c r="S116" i="1"/>
  <c r="U116" i="1" s="1"/>
  <c r="W116" i="1" s="1"/>
  <c r="S115" i="1"/>
  <c r="U115" i="1" s="1"/>
  <c r="W115" i="1" s="1"/>
  <c r="S114" i="1"/>
  <c r="U114" i="1" s="1"/>
  <c r="W114" i="1" s="1"/>
  <c r="S112" i="1"/>
  <c r="U112" i="1" s="1"/>
  <c r="W112" i="1" s="1"/>
  <c r="S111" i="1"/>
  <c r="U111" i="1" s="1"/>
  <c r="W111" i="1" s="1"/>
  <c r="S110" i="1"/>
  <c r="U110" i="1" s="1"/>
  <c r="W110" i="1" s="1"/>
  <c r="S108" i="1"/>
  <c r="U108" i="1" s="1"/>
  <c r="W108" i="1" s="1"/>
  <c r="S102" i="1"/>
  <c r="U102" i="1" s="1"/>
  <c r="W102" i="1" s="1"/>
  <c r="S164" i="1"/>
  <c r="U164" i="1" s="1"/>
  <c r="W164" i="1" s="1"/>
  <c r="S178" i="1"/>
  <c r="U178" i="1" s="1"/>
  <c r="W178" i="1" s="1"/>
  <c r="S176" i="1"/>
  <c r="U176" i="1" s="1"/>
  <c r="W176" i="1" s="1"/>
  <c r="S179" i="1"/>
  <c r="U179" i="1" s="1"/>
  <c r="W179" i="1" s="1"/>
  <c r="S184" i="1"/>
  <c r="U184" i="1" s="1"/>
  <c r="W184" i="1" s="1"/>
  <c r="S183" i="1"/>
  <c r="U183" i="1" s="1"/>
  <c r="W183" i="1" s="1"/>
  <c r="S165" i="1"/>
  <c r="U165" i="1" s="1"/>
  <c r="W165" i="1" s="1"/>
  <c r="S177" i="1"/>
  <c r="U177" i="1" s="1"/>
  <c r="W177" i="1" s="1"/>
  <c r="S153" i="1"/>
  <c r="U153" i="1" s="1"/>
  <c r="W153" i="1" s="1"/>
  <c r="S148" i="1"/>
  <c r="U148" i="1" s="1"/>
  <c r="W148" i="1" s="1"/>
  <c r="S133" i="1"/>
  <c r="U133" i="1" s="1"/>
  <c r="W133" i="1" s="1"/>
  <c r="S146" i="1"/>
  <c r="U146" i="1" s="1"/>
  <c r="W146" i="1" s="1"/>
  <c r="S135" i="1"/>
  <c r="U135" i="1" s="1"/>
  <c r="W135" i="1" s="1"/>
  <c r="S147" i="1"/>
  <c r="U147" i="1" s="1"/>
  <c r="W147" i="1" s="1"/>
  <c r="S152" i="1"/>
  <c r="U152" i="1" s="1"/>
  <c r="W152" i="1" s="1"/>
  <c r="S117" i="1"/>
  <c r="U117" i="1" s="1"/>
  <c r="W117" i="1" s="1"/>
  <c r="S113" i="1"/>
  <c r="U113" i="1" s="1"/>
  <c r="W113" i="1" s="1"/>
  <c r="S123" i="1"/>
  <c r="U123" i="1" s="1"/>
  <c r="W123" i="1" s="1"/>
  <c r="S103" i="1"/>
  <c r="U103" i="1" s="1"/>
  <c r="W103" i="1" s="1"/>
  <c r="S118" i="1"/>
  <c r="U118" i="1" s="1"/>
  <c r="W118" i="1" s="1"/>
  <c r="S105" i="1"/>
  <c r="U105" i="1" s="1"/>
  <c r="W105" i="1" s="1"/>
  <c r="S104" i="1"/>
  <c r="U104" i="1" s="1"/>
  <c r="W104" i="1" s="1"/>
  <c r="S119" i="1"/>
  <c r="U119" i="1" s="1"/>
  <c r="W119" i="1" s="1"/>
  <c r="S93" i="1"/>
  <c r="U93" i="1" s="1"/>
  <c r="W93" i="1" s="1"/>
  <c r="S92" i="1"/>
  <c r="U92" i="1" s="1"/>
  <c r="W92" i="1" s="1"/>
  <c r="S91" i="1"/>
  <c r="U91" i="1" s="1"/>
  <c r="W91" i="1" s="1"/>
  <c r="S90" i="1"/>
  <c r="U90" i="1" s="1"/>
  <c r="W90" i="1" s="1"/>
  <c r="S84" i="1"/>
  <c r="U84" i="1" s="1"/>
  <c r="W84" i="1" s="1"/>
  <c r="S83" i="1"/>
  <c r="U83" i="1" s="1"/>
  <c r="W83" i="1" s="1"/>
  <c r="S82" i="1"/>
  <c r="U82" i="1" s="1"/>
  <c r="W82" i="1" s="1"/>
  <c r="S81" i="1"/>
  <c r="U81" i="1" s="1"/>
  <c r="W81" i="1" s="1"/>
  <c r="S80" i="1"/>
  <c r="U80" i="1" s="1"/>
  <c r="W80" i="1" s="1"/>
  <c r="S79" i="1"/>
  <c r="U79" i="1" s="1"/>
  <c r="W79" i="1" s="1"/>
  <c r="S78" i="1"/>
  <c r="U78" i="1" s="1"/>
  <c r="W78" i="1" s="1"/>
  <c r="S77" i="1"/>
  <c r="U77" i="1" s="1"/>
  <c r="W77" i="1" s="1"/>
  <c r="S71" i="1"/>
  <c r="U71" i="1" s="1"/>
  <c r="W71" i="1" s="1"/>
  <c r="S88" i="1"/>
  <c r="U88" i="1" s="1"/>
  <c r="W88" i="1" s="1"/>
  <c r="S74" i="1"/>
  <c r="U74" i="1" s="1"/>
  <c r="W74" i="1" s="1"/>
  <c r="S86" i="1"/>
  <c r="U86" i="1" s="1"/>
  <c r="W86" i="1" s="1"/>
  <c r="S73" i="1"/>
  <c r="U73" i="1" s="1"/>
  <c r="W73" i="1" s="1"/>
  <c r="S85" i="1"/>
  <c r="U85" i="1" s="1"/>
  <c r="W85" i="1" s="1"/>
  <c r="S75" i="1"/>
  <c r="U75" i="1" s="1"/>
  <c r="W75" i="1" s="1"/>
  <c r="S94" i="1"/>
  <c r="U94" i="1" s="1"/>
  <c r="W94" i="1" s="1"/>
  <c r="S87" i="1"/>
  <c r="U87" i="1" s="1"/>
  <c r="W87" i="1" s="1"/>
  <c r="P60" i="1"/>
  <c r="S60" i="1" s="1"/>
  <c r="U60" i="1" s="1"/>
  <c r="W60" i="1" s="1"/>
  <c r="S61" i="1"/>
  <c r="U61" i="1" s="1"/>
  <c r="W61" i="1" s="1"/>
  <c r="S59" i="1"/>
  <c r="U59" i="1" s="1"/>
  <c r="W59" i="1" s="1"/>
  <c r="S54" i="1"/>
  <c r="U54" i="1" s="1"/>
  <c r="W54" i="1" s="1"/>
  <c r="S53" i="1"/>
  <c r="U53" i="1" s="1"/>
  <c r="W53" i="1" s="1"/>
  <c r="S52" i="1"/>
  <c r="U52" i="1" s="1"/>
  <c r="W52" i="1" s="1"/>
  <c r="S51" i="1"/>
  <c r="U51" i="1" s="1"/>
  <c r="W51" i="1" s="1"/>
  <c r="S50" i="1"/>
  <c r="U50" i="1" s="1"/>
  <c r="W50" i="1" s="1"/>
  <c r="S48" i="1"/>
  <c r="U48" i="1" s="1"/>
  <c r="W48" i="1" s="1"/>
  <c r="S47" i="1"/>
  <c r="U47" i="1" s="1"/>
  <c r="W47" i="1" s="1"/>
  <c r="S46" i="1"/>
  <c r="U46" i="1" s="1"/>
  <c r="W46" i="1" s="1"/>
  <c r="S45" i="1"/>
  <c r="U45" i="1" s="1"/>
  <c r="W45" i="1" s="1"/>
  <c r="S42" i="1"/>
  <c r="U42" i="1" s="1"/>
  <c r="W42" i="1" s="1"/>
  <c r="S41" i="1"/>
  <c r="U41" i="1" s="1"/>
  <c r="W41" i="1" s="1"/>
  <c r="S49" i="1"/>
  <c r="U49" i="1" s="1"/>
  <c r="W49" i="1" s="1"/>
  <c r="S57" i="1"/>
  <c r="U57" i="1" s="1"/>
  <c r="W57" i="1" s="1"/>
  <c r="S43" i="1"/>
  <c r="U43" i="1" s="1"/>
  <c r="W43" i="1" s="1"/>
  <c r="S56" i="1"/>
  <c r="U56" i="1" s="1"/>
  <c r="W56" i="1" s="1"/>
  <c r="S64" i="1"/>
  <c r="U64" i="1" s="1"/>
  <c r="W64" i="1" s="1"/>
  <c r="S55" i="1"/>
  <c r="U55" i="1" s="1"/>
  <c r="W55" i="1" s="1"/>
  <c r="S63" i="1"/>
  <c r="U63" i="1" s="1"/>
  <c r="W63" i="1" s="1"/>
  <c r="S62" i="1"/>
  <c r="U62" i="1" s="1"/>
  <c r="W62" i="1" s="1"/>
  <c r="S58" i="1"/>
  <c r="U58" i="1" s="1"/>
  <c r="W58" i="1" s="1"/>
  <c r="S44" i="1"/>
  <c r="U44" i="1" s="1"/>
  <c r="W44" i="1" s="1"/>
  <c r="Q11" i="1"/>
  <c r="M17" i="1"/>
  <c r="M18" i="1"/>
  <c r="M20" i="1"/>
  <c r="M21" i="1"/>
  <c r="S21" i="1" s="1"/>
  <c r="U21" i="1" s="1"/>
  <c r="W21" i="1" s="1"/>
  <c r="M29" i="1"/>
  <c r="M30" i="1"/>
  <c r="L34" i="1"/>
  <c r="M34" i="1" s="1"/>
  <c r="L33" i="1"/>
  <c r="M33" i="1" s="1"/>
  <c r="L32" i="1"/>
  <c r="M32" i="1" s="1"/>
  <c r="S32" i="1" s="1"/>
  <c r="U32" i="1" s="1"/>
  <c r="W32" i="1" s="1"/>
  <c r="L30" i="1"/>
  <c r="L29" i="1"/>
  <c r="L28" i="1"/>
  <c r="M28" i="1" s="1"/>
  <c r="L26" i="1"/>
  <c r="M26" i="1" s="1"/>
  <c r="L25" i="1"/>
  <c r="M25" i="1" s="1"/>
  <c r="L24" i="1"/>
  <c r="M24" i="1" s="1"/>
  <c r="L23" i="1"/>
  <c r="M23" i="1" s="1"/>
  <c r="L22" i="1"/>
  <c r="M22" i="1" s="1"/>
  <c r="L21" i="1"/>
  <c r="L20" i="1"/>
  <c r="L18" i="1"/>
  <c r="L17" i="1"/>
  <c r="L16" i="1"/>
  <c r="M16" i="1" s="1"/>
  <c r="L14" i="1"/>
  <c r="M14" i="1" s="1"/>
  <c r="L13" i="1"/>
  <c r="M13" i="1" s="1"/>
  <c r="L12" i="1"/>
  <c r="M12" i="1" s="1"/>
  <c r="L31" i="1"/>
  <c r="M31" i="1" s="1"/>
  <c r="L27" i="1"/>
  <c r="M27" i="1" s="1"/>
  <c r="L19" i="1"/>
  <c r="M19" i="1" s="1"/>
  <c r="L15" i="1"/>
  <c r="M15" i="1" s="1"/>
  <c r="L11" i="1"/>
  <c r="J34" i="1"/>
  <c r="Q34" i="1" s="1"/>
  <c r="J33" i="1"/>
  <c r="Q33" i="1" s="1"/>
  <c r="J32" i="1"/>
  <c r="Q32" i="1" s="1"/>
  <c r="J31" i="1"/>
  <c r="Q31" i="1" s="1"/>
  <c r="J30" i="1"/>
  <c r="Q30" i="1" s="1"/>
  <c r="J29" i="1"/>
  <c r="Q29" i="1" s="1"/>
  <c r="J28" i="1"/>
  <c r="Q28" i="1" s="1"/>
  <c r="J27" i="1"/>
  <c r="Q27" i="1" s="1"/>
  <c r="J26" i="1"/>
  <c r="Q26" i="1" s="1"/>
  <c r="J25" i="1"/>
  <c r="Q25" i="1" s="1"/>
  <c r="J24" i="1"/>
  <c r="Q24" i="1" s="1"/>
  <c r="J23" i="1"/>
  <c r="Q23" i="1" s="1"/>
  <c r="J22" i="1"/>
  <c r="Q22" i="1" s="1"/>
  <c r="J21" i="1"/>
  <c r="Q21" i="1" s="1"/>
  <c r="J20" i="1"/>
  <c r="Q20" i="1" s="1"/>
  <c r="J19" i="1"/>
  <c r="Q19" i="1" s="1"/>
  <c r="J18" i="1"/>
  <c r="Q18" i="1" s="1"/>
  <c r="J17" i="1"/>
  <c r="Q17" i="1" s="1"/>
  <c r="J16" i="1"/>
  <c r="Q16" i="1" s="1"/>
  <c r="Q15" i="1"/>
  <c r="J14" i="1"/>
  <c r="Q14" i="1" s="1"/>
  <c r="J13" i="1"/>
  <c r="Q13" i="1" s="1"/>
  <c r="J12" i="1"/>
  <c r="Q12" i="1" s="1"/>
  <c r="J11" i="1"/>
  <c r="H23" i="1"/>
  <c r="R23" i="1" s="1"/>
  <c r="H19" i="1"/>
  <c r="R19" i="1" s="1"/>
  <c r="X231" i="1" l="1"/>
  <c r="X161" i="1"/>
  <c r="X131" i="1"/>
  <c r="X101" i="1"/>
  <c r="X71" i="1"/>
  <c r="X41" i="1"/>
  <c r="S31" i="1"/>
  <c r="U31" i="1" s="1"/>
  <c r="W31" i="1" s="1"/>
  <c r="S29" i="1"/>
  <c r="U29" i="1" s="1"/>
  <c r="W29" i="1" s="1"/>
  <c r="S30" i="1"/>
  <c r="U30" i="1" s="1"/>
  <c r="W30" i="1" s="1"/>
  <c r="S16" i="1"/>
  <c r="U16" i="1" s="1"/>
  <c r="W16" i="1" s="1"/>
  <c r="S33" i="1"/>
  <c r="U33" i="1" s="1"/>
  <c r="W33" i="1" s="1"/>
  <c r="S15" i="1"/>
  <c r="U15" i="1" s="1"/>
  <c r="W15" i="1" s="1"/>
  <c r="S22" i="1"/>
  <c r="U22" i="1" s="1"/>
  <c r="W22" i="1" s="1"/>
  <c r="S18" i="1"/>
  <c r="U18" i="1" s="1"/>
  <c r="W18" i="1" s="1"/>
  <c r="S17" i="1"/>
  <c r="U17" i="1" s="1"/>
  <c r="W17" i="1" s="1"/>
  <c r="S34" i="1"/>
  <c r="U34" i="1" s="1"/>
  <c r="W34" i="1" s="1"/>
  <c r="S27" i="1"/>
  <c r="U27" i="1" s="1"/>
  <c r="W27" i="1" s="1"/>
  <c r="S20" i="1"/>
  <c r="U20" i="1" s="1"/>
  <c r="W20" i="1" s="1"/>
  <c r="S24" i="1"/>
  <c r="U24" i="1" s="1"/>
  <c r="W24" i="1" s="1"/>
  <c r="S25" i="1"/>
  <c r="U25" i="1" s="1"/>
  <c r="W25" i="1" s="1"/>
  <c r="S26" i="1"/>
  <c r="U26" i="1" s="1"/>
  <c r="W26" i="1" s="1"/>
  <c r="S13" i="1"/>
  <c r="U13" i="1" s="1"/>
  <c r="W13" i="1" s="1"/>
  <c r="S19" i="1"/>
  <c r="U19" i="1" s="1"/>
  <c r="W19" i="1" s="1"/>
  <c r="S12" i="1"/>
  <c r="U12" i="1" s="1"/>
  <c r="W12" i="1" s="1"/>
  <c r="S28" i="1"/>
  <c r="U28" i="1" s="1"/>
  <c r="W28" i="1" s="1"/>
  <c r="S14" i="1"/>
  <c r="U14" i="1" s="1"/>
  <c r="W14" i="1" s="1"/>
  <c r="S23" i="1"/>
  <c r="U23" i="1" s="1"/>
  <c r="W23" i="1" s="1"/>
  <c r="M11" i="1"/>
  <c r="S11" i="1" l="1"/>
  <c r="U11" i="1" s="1"/>
  <c r="W11" i="1" s="1"/>
  <c r="X11" i="1" s="1"/>
</calcChain>
</file>

<file path=xl/sharedStrings.xml><?xml version="1.0" encoding="utf-8"?>
<sst xmlns="http://schemas.openxmlformats.org/spreadsheetml/2006/main" count="525" uniqueCount="110">
  <si>
    <t>(LRjk=3,4 * min( LMRjk=3,4  100)) / 100</t>
  </si>
  <si>
    <t>(0.795 * DMDjk) - 0.0014</t>
  </si>
  <si>
    <t>(104.7 * qmjk + 0.307 * Wjk- 15) * Wjk * 10^-3</t>
  </si>
  <si>
    <t>1 - e ^ -2( DMAjk ) ^ 2</t>
  </si>
  <si>
    <t>(LEjk=3,4 * FAk=3,4) + (1 - LEjk=3,4)</t>
  </si>
  <si>
    <t>PIjk * RIjk * MAjk=3,4</t>
  </si>
  <si>
    <t>(Ijk * 0.0188) + 0.00158</t>
  </si>
  <si>
    <t>SUM SUM (Njk * Mijk * Dj) * 10^-3</t>
  </si>
  <si>
    <t>342</t>
  </si>
  <si>
    <t>344</t>
  </si>
  <si>
    <t>321</t>
  </si>
  <si>
    <t>351</t>
  </si>
  <si>
    <t>349</t>
  </si>
  <si>
    <t>348</t>
  </si>
  <si>
    <t>302</t>
  </si>
  <si>
    <t>347</t>
  </si>
  <si>
    <t>296</t>
  </si>
  <si>
    <t>308</t>
  </si>
  <si>
    <t>314</t>
  </si>
  <si>
    <t>291</t>
  </si>
  <si>
    <t>341</t>
  </si>
  <si>
    <t>288</t>
  </si>
  <si>
    <t>346</t>
  </si>
  <si>
    <t>281</t>
  </si>
  <si>
    <t>input</t>
  </si>
  <si>
    <t>expression</t>
  </si>
  <si>
    <t>constant</t>
  </si>
  <si>
    <t/>
  </si>
  <si>
    <t>percent</t>
  </si>
  <si>
    <t>fraction</t>
  </si>
  <si>
    <t>t / ha</t>
  </si>
  <si>
    <t>d</t>
  </si>
  <si>
    <t>kg</t>
  </si>
  <si>
    <t>kg DM/head/day</t>
  </si>
  <si>
    <t>head</t>
  </si>
  <si>
    <t>kg CH4/head/day</t>
  </si>
  <si>
    <t>days</t>
  </si>
  <si>
    <t>t CH4</t>
  </si>
  <si>
    <t>Lamb rate of ewes and maidens</t>
  </si>
  <si>
    <t>Lamb marking rate per ewe mated</t>
  </si>
  <si>
    <t>Proportion of ewes and maidens lactating</t>
  </si>
  <si>
    <t>feed adjustment value</t>
  </si>
  <si>
    <t>Dry matter availability</t>
  </si>
  <si>
    <t>Dry matter digestibility</t>
  </si>
  <si>
    <t>metabolizability of the diet</t>
  </si>
  <si>
    <t>liveweight</t>
  </si>
  <si>
    <t>Potential intake</t>
  </si>
  <si>
    <t>Relative intake</t>
  </si>
  <si>
    <t>Additional intake for milk production</t>
  </si>
  <si>
    <t>Daily feed intake</t>
  </si>
  <si>
    <t>Number of sheep</t>
  </si>
  <si>
    <t>Daily methane production</t>
  </si>
  <si>
    <t>Days in each time period</t>
  </si>
  <si>
    <t>Total annual methane production</t>
  </si>
  <si>
    <t>LRjk=3,4</t>
  </si>
  <si>
    <t>LMRjk=3,4</t>
  </si>
  <si>
    <t>LEjk=3,4</t>
  </si>
  <si>
    <t>FAk=3,4</t>
  </si>
  <si>
    <t>DMAjk</t>
  </si>
  <si>
    <t>DMDjk</t>
  </si>
  <si>
    <t>qmjk</t>
  </si>
  <si>
    <t>Wjk</t>
  </si>
  <si>
    <t>PIjk</t>
  </si>
  <si>
    <t>RIjk</t>
  </si>
  <si>
    <t>MAjk=3,4</t>
  </si>
  <si>
    <t>Ijk</t>
  </si>
  <si>
    <t>Njk</t>
  </si>
  <si>
    <t>Mijk</t>
  </si>
  <si>
    <t>Dj</t>
  </si>
  <si>
    <t>Eenteric</t>
  </si>
  <si>
    <t>Scenario</t>
  </si>
  <si>
    <t>Class</t>
  </si>
  <si>
    <t>Rams</t>
  </si>
  <si>
    <t>Wethers</t>
  </si>
  <si>
    <t>Maiden ewes</t>
  </si>
  <si>
    <t>Breeding ewes</t>
  </si>
  <si>
    <t>Other ewes</t>
  </si>
  <si>
    <t>Lambs and hoggets</t>
  </si>
  <si>
    <t>Baseline</t>
  </si>
  <si>
    <t>Season</t>
  </si>
  <si>
    <t>Spring</t>
  </si>
  <si>
    <t>Summer</t>
  </si>
  <si>
    <t>Autumn</t>
  </si>
  <si>
    <t>Winter</t>
  </si>
  <si>
    <t>A.1.4.3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</si>
  <si>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</si>
  <si>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</si>
  <si>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</si>
  <si>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</si>
  <si>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</si>
  <si>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</si>
  <si>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</si>
  <si>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A.1.4.2</t>
  </si>
  <si>
    <t>DMD</t>
  </si>
  <si>
    <t>A.1.4.1</t>
  </si>
  <si>
    <t>Custom Wjk</t>
  </si>
  <si>
    <t>Custom DMA</t>
  </si>
  <si>
    <t>Custom DMD</t>
  </si>
  <si>
    <t>QLD</t>
  </si>
  <si>
    <t>Baseline - QLD</t>
  </si>
  <si>
    <t>SA</t>
  </si>
  <si>
    <t>Baseline - SA</t>
  </si>
  <si>
    <t>TAS</t>
  </si>
  <si>
    <t>Baseline - TAS</t>
  </si>
  <si>
    <t>Baseline - VIC</t>
  </si>
  <si>
    <t>VIC</t>
  </si>
  <si>
    <t>WA</t>
  </si>
  <si>
    <t>Baseline - WA</t>
  </si>
  <si>
    <t>Method 2 - DMA</t>
  </si>
  <si>
    <t>Multiple lambing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</si>
</sst>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314"/>
  <sheetViews>
    <sheetView tabSelected="1" workbookViewId="0">
      <pane xSplit="4" ySplit="10" topLeftCell="E258" activePane="bottomRight" state="frozenSplit"/>
      <selection pane="topRight" activeCell="F1" sqref="F1"/>
      <selection pane="bottomLeft" activeCell="A32" sqref="A32"/>
      <selection pane="bottomRight" activeCell="X291" sqref="X291"/>
    </sheetView>
  </sheetViews>
  <sheetFormatPr baseColWidth="10" defaultRowHeight="16" x14ac:dyDescent="0.2"/>
  <cols>
    <col min="1" max="1" width="14.1640625" customWidth="1"/>
  </cols>
  <sheetData>
    <row r="2" spans="1:34" x14ac:dyDescent="0.2">
      <c r="G2" t="s">
        <v>0</v>
      </c>
      <c r="M2" t="s">
        <v>1</v>
      </c>
      <c r="P2" t="s">
        <v>2</v>
      </c>
      <c r="Q2" t="s">
        <v>3</v>
      </c>
      <c r="R2" t="s">
        <v>4</v>
      </c>
      <c r="S2" t="s">
        <v>5</v>
      </c>
      <c r="U2" t="s">
        <v>6</v>
      </c>
      <c r="W2" t="s">
        <v>7</v>
      </c>
    </row>
    <row r="3" spans="1:34" x14ac:dyDescent="0.2">
      <c r="E3" t="s">
        <v>8</v>
      </c>
      <c r="F3" t="s">
        <v>9</v>
      </c>
      <c r="G3" t="s">
        <v>10</v>
      </c>
      <c r="H3" t="s">
        <v>11</v>
      </c>
      <c r="J3" t="s">
        <v>12</v>
      </c>
      <c r="L3" t="s">
        <v>13</v>
      </c>
      <c r="M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t="s">
        <v>23</v>
      </c>
      <c r="AA3">
        <v>351</v>
      </c>
      <c r="AB3" t="s">
        <v>57</v>
      </c>
      <c r="AC3">
        <v>1.3</v>
      </c>
    </row>
    <row r="4" spans="1:34" x14ac:dyDescent="0.2">
      <c r="E4" t="s">
        <v>24</v>
      </c>
      <c r="F4" t="s">
        <v>24</v>
      </c>
      <c r="G4" t="s">
        <v>25</v>
      </c>
      <c r="H4" t="s">
        <v>26</v>
      </c>
      <c r="J4" t="s">
        <v>26</v>
      </c>
      <c r="L4" t="s">
        <v>26</v>
      </c>
      <c r="M4" t="s">
        <v>25</v>
      </c>
      <c r="O4" t="s">
        <v>26</v>
      </c>
      <c r="P4" t="s">
        <v>25</v>
      </c>
      <c r="Q4" t="s">
        <v>25</v>
      </c>
      <c r="R4" t="s">
        <v>25</v>
      </c>
      <c r="S4" t="s">
        <v>25</v>
      </c>
      <c r="T4" t="s">
        <v>24</v>
      </c>
      <c r="U4" t="s">
        <v>25</v>
      </c>
      <c r="V4" t="s">
        <v>26</v>
      </c>
      <c r="W4" t="s">
        <v>25</v>
      </c>
      <c r="AA4">
        <v>346</v>
      </c>
      <c r="AB4" t="s">
        <v>68</v>
      </c>
      <c r="AC4">
        <v>91.25</v>
      </c>
    </row>
    <row r="5" spans="1:34" x14ac:dyDescent="0.2">
      <c r="E5" t="s">
        <v>27</v>
      </c>
      <c r="F5" t="s">
        <v>27</v>
      </c>
      <c r="G5" t="s">
        <v>27</v>
      </c>
      <c r="H5" t="s">
        <v>27</v>
      </c>
      <c r="J5" t="s">
        <v>24</v>
      </c>
      <c r="L5" t="s">
        <v>24</v>
      </c>
      <c r="M5" t="s">
        <v>27</v>
      </c>
      <c r="O5" t="s">
        <v>24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24</v>
      </c>
      <c r="W5" t="s">
        <v>27</v>
      </c>
    </row>
    <row r="8" spans="1:34" x14ac:dyDescent="0.2">
      <c r="E8" t="s">
        <v>28</v>
      </c>
      <c r="F8" t="s">
        <v>28</v>
      </c>
      <c r="G8" t="s">
        <v>29</v>
      </c>
      <c r="H8" t="s">
        <v>29</v>
      </c>
      <c r="J8" t="s">
        <v>30</v>
      </c>
      <c r="L8" t="s">
        <v>28</v>
      </c>
      <c r="M8" t="s">
        <v>31</v>
      </c>
      <c r="O8" t="s">
        <v>32</v>
      </c>
      <c r="P8" t="s">
        <v>33</v>
      </c>
      <c r="Q8" t="s">
        <v>31</v>
      </c>
      <c r="R8" t="s">
        <v>31</v>
      </c>
      <c r="S8" t="s">
        <v>33</v>
      </c>
      <c r="T8" t="s">
        <v>34</v>
      </c>
      <c r="U8" t="s">
        <v>35</v>
      </c>
      <c r="V8" t="s">
        <v>36</v>
      </c>
      <c r="W8" t="s">
        <v>37</v>
      </c>
      <c r="X8" t="s">
        <v>37</v>
      </c>
    </row>
    <row r="9" spans="1:34" x14ac:dyDescent="0.2">
      <c r="E9" t="s">
        <v>38</v>
      </c>
      <c r="F9" t="s">
        <v>39</v>
      </c>
      <c r="G9" t="s">
        <v>40</v>
      </c>
      <c r="H9" t="s">
        <v>41</v>
      </c>
      <c r="J9" t="s">
        <v>42</v>
      </c>
      <c r="L9" t="s">
        <v>43</v>
      </c>
      <c r="M9" t="s">
        <v>44</v>
      </c>
      <c r="O9" t="s">
        <v>45</v>
      </c>
      <c r="P9" t="s">
        <v>46</v>
      </c>
      <c r="Q9" t="s">
        <v>47</v>
      </c>
      <c r="R9" t="s">
        <v>48</v>
      </c>
      <c r="S9" t="s">
        <v>49</v>
      </c>
      <c r="T9" t="s">
        <v>50</v>
      </c>
      <c r="U9" t="s">
        <v>51</v>
      </c>
      <c r="V9" t="s">
        <v>52</v>
      </c>
      <c r="W9" t="s">
        <v>53</v>
      </c>
    </row>
    <row r="10" spans="1:34" x14ac:dyDescent="0.2">
      <c r="A10" t="s">
        <v>70</v>
      </c>
      <c r="B10" t="s">
        <v>91</v>
      </c>
      <c r="C10" t="s">
        <v>71</v>
      </c>
      <c r="D10" t="s">
        <v>79</v>
      </c>
      <c r="E10" s="2" t="s">
        <v>54</v>
      </c>
      <c r="F10" s="2" t="s">
        <v>55</v>
      </c>
      <c r="G10" t="s">
        <v>56</v>
      </c>
      <c r="H10" t="s">
        <v>57</v>
      </c>
      <c r="I10" t="s">
        <v>96</v>
      </c>
      <c r="J10" t="s">
        <v>58</v>
      </c>
      <c r="K10" t="s">
        <v>97</v>
      </c>
      <c r="L10" t="s">
        <v>59</v>
      </c>
      <c r="M10" t="s">
        <v>60</v>
      </c>
      <c r="N10" t="s">
        <v>95</v>
      </c>
      <c r="O10" t="s">
        <v>61</v>
      </c>
      <c r="P10" t="s">
        <v>62</v>
      </c>
      <c r="Q10" t="s">
        <v>63</v>
      </c>
      <c r="R10" t="s">
        <v>64</v>
      </c>
      <c r="S10" t="s">
        <v>65</v>
      </c>
      <c r="T10" s="2" t="s">
        <v>66</v>
      </c>
      <c r="U10" t="s">
        <v>67</v>
      </c>
      <c r="V10" t="s">
        <v>68</v>
      </c>
      <c r="W10" t="s">
        <v>69</v>
      </c>
      <c r="X10" s="1" t="s">
        <v>69</v>
      </c>
    </row>
    <row r="11" spans="1:34" x14ac:dyDescent="0.2">
      <c r="A11" t="s">
        <v>78</v>
      </c>
      <c r="B11" t="s">
        <v>85</v>
      </c>
      <c r="C11" t="s">
        <v>72</v>
      </c>
      <c r="D11" t="s">
        <v>80</v>
      </c>
      <c r="E11">
        <v>0</v>
      </c>
      <c r="F11">
        <v>0</v>
      </c>
      <c r="G11">
        <v>0</v>
      </c>
      <c r="J11">
        <f>$AC$17</f>
        <v>2.9</v>
      </c>
      <c r="L11">
        <f>$AC$45</f>
        <v>0.75</v>
      </c>
      <c r="M11">
        <f>(0.795 * L11) - 0.0014</f>
        <v>0.5948500000000001</v>
      </c>
      <c r="O11">
        <f>$AC$72</f>
        <v>75</v>
      </c>
      <c r="P11">
        <f>(104.7 * M11 + 0.307 * O11- 15) * POWER(O11, 0.75) * 10^-3</f>
        <v>1.7917898456122741</v>
      </c>
      <c r="Q11">
        <f>1-EXP(-2*POWER(J11,2))</f>
        <v>0.9999999504359468</v>
      </c>
      <c r="R11">
        <v>1</v>
      </c>
      <c r="S11">
        <f>P11 * Q11 * R11</f>
        <v>1.7917897568039067</v>
      </c>
      <c r="T11">
        <v>50</v>
      </c>
      <c r="U11">
        <f>(S11 * 0.0188) + 0.00158</f>
        <v>3.5265647427913445E-2</v>
      </c>
      <c r="V11">
        <f>$AC$4</f>
        <v>91.25</v>
      </c>
      <c r="W11">
        <f>T11*U11*V11</f>
        <v>160.89951638985508</v>
      </c>
      <c r="X11">
        <f>SUM(W11:W34)*10^-3</f>
        <v>3.7707328300265006</v>
      </c>
    </row>
    <row r="12" spans="1:34" x14ac:dyDescent="0.2">
      <c r="D12" t="s">
        <v>81</v>
      </c>
      <c r="E12">
        <v>0</v>
      </c>
      <c r="F12">
        <v>0</v>
      </c>
      <c r="G12">
        <v>0</v>
      </c>
      <c r="J12">
        <f>$AC$18</f>
        <v>2.5</v>
      </c>
      <c r="L12">
        <f>$AC$46</f>
        <v>0.61</v>
      </c>
      <c r="M12">
        <f t="shared" ref="M12:M34" si="0">(0.795 * L12) - 0.0014</f>
        <v>0.48354999999999998</v>
      </c>
      <c r="O12">
        <f>$AC$73</f>
        <v>75</v>
      </c>
      <c r="P12">
        <f>(104.7 * M12 + 0.307 * O12- 15) * POWER(O12, 0.75) * 10^-3</f>
        <v>1.4948026034112167</v>
      </c>
      <c r="Q12">
        <f t="shared" ref="Q12:Q34" si="1">1-EXP(-2*POWER(J12,2))</f>
        <v>0.99999627334682795</v>
      </c>
      <c r="R12">
        <v>1</v>
      </c>
      <c r="S12">
        <f t="shared" ref="S12:S34" si="2">P12 * Q12 * R12</f>
        <v>1.494797032800353</v>
      </c>
      <c r="T12">
        <v>40</v>
      </c>
      <c r="U12">
        <f t="shared" ref="U12:U34" si="3">(S12 * 0.0188) + 0.00158</f>
        <v>2.9682184216646638E-2</v>
      </c>
      <c r="V12">
        <f t="shared" ref="V12:V34" si="4">$AC$4</f>
        <v>91.25</v>
      </c>
      <c r="W12">
        <f t="shared" ref="W12:W34" si="5">T12*U12*V12</f>
        <v>108.33997239076024</v>
      </c>
    </row>
    <row r="13" spans="1:34" x14ac:dyDescent="0.2">
      <c r="D13" t="s">
        <v>82</v>
      </c>
      <c r="E13">
        <v>0</v>
      </c>
      <c r="F13">
        <v>0</v>
      </c>
      <c r="G13">
        <v>0</v>
      </c>
      <c r="J13">
        <f>$AC$19</f>
        <v>1.6</v>
      </c>
      <c r="L13">
        <f>$AC$47</f>
        <v>0.64</v>
      </c>
      <c r="M13">
        <f t="shared" si="0"/>
        <v>0.50740000000000007</v>
      </c>
      <c r="O13">
        <f>$AC$74</f>
        <v>69</v>
      </c>
      <c r="P13">
        <f t="shared" ref="P13:P34" si="6">(104.7 * M13 + 0.307 * O13- 15) * POWER(O13, 0.75) * 10^-3</f>
        <v>1.4198696820048529</v>
      </c>
      <c r="Q13">
        <f t="shared" si="1"/>
        <v>0.99402397710499402</v>
      </c>
      <c r="R13">
        <v>1</v>
      </c>
      <c r="S13">
        <f t="shared" si="2"/>
        <v>1.4113845082772669</v>
      </c>
      <c r="T13">
        <v>38</v>
      </c>
      <c r="U13">
        <f t="shared" si="3"/>
        <v>2.811402875561262E-2</v>
      </c>
      <c r="V13">
        <f t="shared" si="4"/>
        <v>91.25</v>
      </c>
      <c r="W13">
        <f t="shared" si="5"/>
        <v>97.485394710086752</v>
      </c>
    </row>
    <row r="14" spans="1:34" x14ac:dyDescent="0.2">
      <c r="D14" t="s">
        <v>83</v>
      </c>
      <c r="E14">
        <v>0</v>
      </c>
      <c r="F14">
        <v>0</v>
      </c>
      <c r="G14">
        <v>0</v>
      </c>
      <c r="J14">
        <f>$AC$20</f>
        <v>1.7</v>
      </c>
      <c r="L14">
        <f>$AC$48</f>
        <v>0.72</v>
      </c>
      <c r="M14">
        <f t="shared" si="0"/>
        <v>0.57100000000000006</v>
      </c>
      <c r="O14">
        <f>$AC$75</f>
        <v>69</v>
      </c>
      <c r="P14">
        <f t="shared" si="6"/>
        <v>1.5792888783210146</v>
      </c>
      <c r="Q14">
        <f t="shared" si="1"/>
        <v>0.99691128459176326</v>
      </c>
      <c r="R14">
        <v>1</v>
      </c>
      <c r="S14">
        <f t="shared" si="2"/>
        <v>1.5744109044284875</v>
      </c>
      <c r="T14">
        <v>50</v>
      </c>
      <c r="U14">
        <f t="shared" si="3"/>
        <v>3.1178925003255569E-2</v>
      </c>
      <c r="V14">
        <f t="shared" si="4"/>
        <v>91.25</v>
      </c>
      <c r="W14">
        <f t="shared" si="5"/>
        <v>142.25384532735353</v>
      </c>
      <c r="AB14" t="s">
        <v>84</v>
      </c>
    </row>
    <row r="15" spans="1:34" x14ac:dyDescent="0.2">
      <c r="A15">
        <v>2</v>
      </c>
      <c r="C15" t="s">
        <v>73</v>
      </c>
      <c r="D15" t="s">
        <v>80</v>
      </c>
      <c r="E15">
        <v>0</v>
      </c>
      <c r="F15">
        <v>0</v>
      </c>
      <c r="G15">
        <v>0</v>
      </c>
      <c r="J15">
        <f>$AD$17</f>
        <v>2.9</v>
      </c>
      <c r="L15">
        <f>$AD$45</f>
        <v>0.75</v>
      </c>
      <c r="M15">
        <f t="shared" si="0"/>
        <v>0.5948500000000001</v>
      </c>
      <c r="O15">
        <f>$AD$72</f>
        <v>62</v>
      </c>
      <c r="P15">
        <f t="shared" si="6"/>
        <v>1.4652245899459331</v>
      </c>
      <c r="Q15">
        <f t="shared" si="1"/>
        <v>0.9999999504359468</v>
      </c>
      <c r="R15">
        <v>1</v>
      </c>
      <c r="S15">
        <f t="shared" si="2"/>
        <v>1.4652245173234635</v>
      </c>
      <c r="T15">
        <v>100</v>
      </c>
      <c r="U15">
        <f t="shared" si="3"/>
        <v>2.9126220925681116E-2</v>
      </c>
      <c r="V15">
        <f t="shared" si="4"/>
        <v>91.25</v>
      </c>
      <c r="W15">
        <f t="shared" si="5"/>
        <v>265.77676594684021</v>
      </c>
      <c r="AB15" t="s">
        <v>58</v>
      </c>
    </row>
    <row r="16" spans="1:34" x14ac:dyDescent="0.2">
      <c r="D16" t="s">
        <v>81</v>
      </c>
      <c r="E16">
        <v>0</v>
      </c>
      <c r="F16">
        <v>0</v>
      </c>
      <c r="G16">
        <v>0</v>
      </c>
      <c r="J16">
        <f>$AD$18</f>
        <v>2.5</v>
      </c>
      <c r="L16">
        <f>$AD$46</f>
        <v>0.61</v>
      </c>
      <c r="M16">
        <f t="shared" si="0"/>
        <v>0.48354999999999998</v>
      </c>
      <c r="O16">
        <f>$AD$73</f>
        <v>55</v>
      </c>
      <c r="P16">
        <f t="shared" si="6"/>
        <v>1.0605624381175847</v>
      </c>
      <c r="Q16">
        <f t="shared" si="1"/>
        <v>0.99999627334682795</v>
      </c>
      <c r="R16">
        <v>1</v>
      </c>
      <c r="S16">
        <f t="shared" si="2"/>
        <v>1.0605584857692105</v>
      </c>
      <c r="T16">
        <v>120</v>
      </c>
      <c r="U16">
        <f t="shared" si="3"/>
        <v>2.1518499532461158E-2</v>
      </c>
      <c r="V16">
        <f t="shared" si="4"/>
        <v>91.25</v>
      </c>
      <c r="W16">
        <f t="shared" si="5"/>
        <v>235.6275698804497</v>
      </c>
      <c r="AC16" t="s">
        <v>72</v>
      </c>
      <c r="AD16" t="s">
        <v>73</v>
      </c>
      <c r="AE16" t="s">
        <v>74</v>
      </c>
      <c r="AF16" t="s">
        <v>75</v>
      </c>
      <c r="AG16" t="s">
        <v>76</v>
      </c>
      <c r="AH16" t="s">
        <v>77</v>
      </c>
    </row>
    <row r="17" spans="1:34" x14ac:dyDescent="0.2">
      <c r="D17" t="s">
        <v>82</v>
      </c>
      <c r="E17">
        <v>0</v>
      </c>
      <c r="F17">
        <v>0</v>
      </c>
      <c r="G17">
        <v>0</v>
      </c>
      <c r="J17">
        <f>$AD$19</f>
        <v>1.6</v>
      </c>
      <c r="L17">
        <f>$AD$47</f>
        <v>0.64</v>
      </c>
      <c r="M17">
        <f t="shared" si="0"/>
        <v>0.50740000000000007</v>
      </c>
      <c r="O17">
        <f>$AD$74</f>
        <v>55</v>
      </c>
      <c r="P17">
        <f t="shared" si="6"/>
        <v>1.1109945415495692</v>
      </c>
      <c r="Q17">
        <f t="shared" si="1"/>
        <v>0.99402397710499402</v>
      </c>
      <c r="R17">
        <v>1</v>
      </c>
      <c r="S17">
        <f t="shared" si="2"/>
        <v>1.1043552127330423</v>
      </c>
      <c r="T17">
        <v>115</v>
      </c>
      <c r="U17">
        <f t="shared" si="3"/>
        <v>2.2341877999381195E-2</v>
      </c>
      <c r="V17">
        <f t="shared" si="4"/>
        <v>91.25</v>
      </c>
      <c r="W17">
        <f t="shared" si="5"/>
        <v>234.4500822560064</v>
      </c>
      <c r="AA17" t="s">
        <v>85</v>
      </c>
      <c r="AB17" t="s">
        <v>80</v>
      </c>
      <c r="AC17">
        <v>2.9</v>
      </c>
      <c r="AD17">
        <v>2.9</v>
      </c>
      <c r="AE17">
        <v>2.9</v>
      </c>
      <c r="AF17">
        <v>2.9</v>
      </c>
      <c r="AG17">
        <v>2.9</v>
      </c>
      <c r="AH17">
        <v>2.9</v>
      </c>
    </row>
    <row r="18" spans="1:34" x14ac:dyDescent="0.2">
      <c r="D18" t="s">
        <v>83</v>
      </c>
      <c r="E18">
        <v>0</v>
      </c>
      <c r="F18">
        <v>0</v>
      </c>
      <c r="G18">
        <v>0</v>
      </c>
      <c r="J18">
        <f>$AD$20</f>
        <v>1.7</v>
      </c>
      <c r="L18">
        <f>$AD$48</f>
        <v>0.72</v>
      </c>
      <c r="M18">
        <f t="shared" si="0"/>
        <v>0.57100000000000006</v>
      </c>
      <c r="O18">
        <f>$AD$75</f>
        <v>55</v>
      </c>
      <c r="P18">
        <f t="shared" si="6"/>
        <v>1.2454801507015281</v>
      </c>
      <c r="Q18">
        <f t="shared" si="1"/>
        <v>0.99691128459176326</v>
      </c>
      <c r="R18">
        <v>1</v>
      </c>
      <c r="S18">
        <f t="shared" si="2"/>
        <v>1.2416332169694033</v>
      </c>
      <c r="T18">
        <v>110</v>
      </c>
      <c r="U18">
        <f t="shared" si="3"/>
        <v>2.4922704479024786E-2</v>
      </c>
      <c r="V18">
        <f t="shared" si="4"/>
        <v>91.25</v>
      </c>
      <c r="W18">
        <f t="shared" si="5"/>
        <v>250.16164620821129</v>
      </c>
      <c r="AB18" t="s">
        <v>81</v>
      </c>
      <c r="AC18">
        <v>2.5</v>
      </c>
      <c r="AD18">
        <v>2.5</v>
      </c>
      <c r="AE18">
        <v>2.5</v>
      </c>
      <c r="AF18">
        <v>2.5</v>
      </c>
      <c r="AG18">
        <v>2.5</v>
      </c>
      <c r="AH18">
        <v>2.5</v>
      </c>
    </row>
    <row r="19" spans="1:34" x14ac:dyDescent="0.2">
      <c r="A19">
        <v>3</v>
      </c>
      <c r="C19" t="s">
        <v>74</v>
      </c>
      <c r="D19" t="s">
        <v>80</v>
      </c>
      <c r="E19">
        <v>90</v>
      </c>
      <c r="F19">
        <v>85</v>
      </c>
      <c r="G19">
        <f>(E19/100*MIN(F19,100)/100)</f>
        <v>0.76500000000000001</v>
      </c>
      <c r="H19">
        <f>$AC$3</f>
        <v>1.3</v>
      </c>
      <c r="J19">
        <f>$AE$17</f>
        <v>2.9</v>
      </c>
      <c r="L19">
        <f>$AE$45</f>
        <v>0.75</v>
      </c>
      <c r="M19">
        <f t="shared" si="0"/>
        <v>0.5948500000000001</v>
      </c>
      <c r="O19">
        <f>$AE$72</f>
        <v>44</v>
      </c>
      <c r="P19">
        <f>(104.7 * M19 + 0.307 * O19- 15) * POWER(O19, 0.75) * 10^-3</f>
        <v>1.0385156413271623</v>
      </c>
      <c r="Q19">
        <f t="shared" si="1"/>
        <v>0.9999999504359468</v>
      </c>
      <c r="R19">
        <f>(G19 * H19) + (1 - G19)</f>
        <v>1.2295</v>
      </c>
      <c r="S19">
        <f t="shared" si="2"/>
        <v>1.2768549177256379</v>
      </c>
      <c r="T19">
        <v>120</v>
      </c>
      <c r="U19">
        <f t="shared" si="3"/>
        <v>2.5584872453241994E-2</v>
      </c>
      <c r="V19">
        <f t="shared" si="4"/>
        <v>91.25</v>
      </c>
      <c r="W19">
        <f t="shared" si="5"/>
        <v>280.15435336299987</v>
      </c>
      <c r="AB19" t="s">
        <v>82</v>
      </c>
      <c r="AC19">
        <v>1.6</v>
      </c>
      <c r="AD19">
        <v>1.6</v>
      </c>
      <c r="AE19">
        <v>1.6</v>
      </c>
      <c r="AF19">
        <v>1.6</v>
      </c>
      <c r="AG19">
        <v>1.6</v>
      </c>
      <c r="AH19">
        <v>1.6</v>
      </c>
    </row>
    <row r="20" spans="1:34" x14ac:dyDescent="0.2">
      <c r="D20" t="s">
        <v>81</v>
      </c>
      <c r="E20">
        <v>0</v>
      </c>
      <c r="F20">
        <v>0</v>
      </c>
      <c r="G20">
        <f>(E20/100*MIN(F20,100)/100)</f>
        <v>0</v>
      </c>
      <c r="J20">
        <f>$AE$18</f>
        <v>2.5</v>
      </c>
      <c r="L20">
        <f>$AE$46</f>
        <v>0.61</v>
      </c>
      <c r="M20">
        <f t="shared" si="0"/>
        <v>0.48354999999999998</v>
      </c>
      <c r="O20">
        <f>$AE$73</f>
        <v>42</v>
      </c>
      <c r="P20">
        <f t="shared" si="6"/>
        <v>0.80052120768394575</v>
      </c>
      <c r="Q20">
        <f t="shared" si="1"/>
        <v>0.99999627334682795</v>
      </c>
      <c r="R20">
        <f t="shared" ref="R20:R26" si="7">(G20 * H20) + (1 - G20)</f>
        <v>1</v>
      </c>
      <c r="S20">
        <f t="shared" si="2"/>
        <v>0.80051822441904785</v>
      </c>
      <c r="T20">
        <v>130</v>
      </c>
      <c r="U20">
        <f t="shared" si="3"/>
        <v>1.6629742619078101E-2</v>
      </c>
      <c r="V20">
        <f t="shared" si="4"/>
        <v>91.25</v>
      </c>
      <c r="W20">
        <f t="shared" si="5"/>
        <v>197.27032181881395</v>
      </c>
      <c r="AB20" t="s">
        <v>83</v>
      </c>
      <c r="AC20">
        <v>1.7</v>
      </c>
      <c r="AD20">
        <v>1.7</v>
      </c>
      <c r="AE20">
        <v>1.7</v>
      </c>
      <c r="AF20">
        <v>1.7</v>
      </c>
      <c r="AG20">
        <v>1.7</v>
      </c>
      <c r="AH20">
        <v>1.7</v>
      </c>
    </row>
    <row r="21" spans="1:34" x14ac:dyDescent="0.2">
      <c r="D21" t="s">
        <v>82</v>
      </c>
      <c r="E21">
        <v>0</v>
      </c>
      <c r="F21">
        <v>0</v>
      </c>
      <c r="G21">
        <f t="shared" ref="G21:G23" si="8">(E21/100*MIN(F21,100)/100)</f>
        <v>0</v>
      </c>
      <c r="J21">
        <f>$AE$19</f>
        <v>1.6</v>
      </c>
      <c r="L21">
        <f>$AE$47</f>
        <v>0.64</v>
      </c>
      <c r="M21">
        <f t="shared" si="0"/>
        <v>0.50740000000000007</v>
      </c>
      <c r="O21">
        <f>$AE$74</f>
        <v>43</v>
      </c>
      <c r="P21">
        <f t="shared" si="6"/>
        <v>0.86186034677094148</v>
      </c>
      <c r="Q21">
        <f t="shared" si="1"/>
        <v>0.99402397710499402</v>
      </c>
      <c r="R21">
        <f t="shared" si="7"/>
        <v>1</v>
      </c>
      <c r="S21">
        <f t="shared" si="2"/>
        <v>0.85670984960634056</v>
      </c>
      <c r="T21">
        <v>120</v>
      </c>
      <c r="U21">
        <f t="shared" si="3"/>
        <v>1.7686145172599206E-2</v>
      </c>
      <c r="V21">
        <f t="shared" si="4"/>
        <v>91.25</v>
      </c>
      <c r="W21">
        <f t="shared" si="5"/>
        <v>193.66328963996131</v>
      </c>
      <c r="AA21" t="s">
        <v>86</v>
      </c>
      <c r="AB21" t="s">
        <v>80</v>
      </c>
      <c r="AC21">
        <v>1.5</v>
      </c>
      <c r="AD21">
        <v>1.5</v>
      </c>
      <c r="AE21">
        <v>1.5</v>
      </c>
      <c r="AF21">
        <v>1.5</v>
      </c>
      <c r="AG21">
        <v>1.5</v>
      </c>
      <c r="AH21">
        <v>1.5</v>
      </c>
    </row>
    <row r="22" spans="1:34" x14ac:dyDescent="0.2">
      <c r="D22" t="s">
        <v>83</v>
      </c>
      <c r="E22">
        <v>0</v>
      </c>
      <c r="F22">
        <v>0</v>
      </c>
      <c r="G22">
        <f t="shared" si="8"/>
        <v>0</v>
      </c>
      <c r="J22">
        <f>$AE$20</f>
        <v>1.7</v>
      </c>
      <c r="L22">
        <f>$AE$48</f>
        <v>0.72</v>
      </c>
      <c r="M22">
        <f t="shared" si="0"/>
        <v>0.57100000000000006</v>
      </c>
      <c r="O22">
        <f>$AE$75</f>
        <v>45</v>
      </c>
      <c r="P22">
        <f t="shared" si="6"/>
        <v>1.0181162441707754</v>
      </c>
      <c r="Q22">
        <f t="shared" si="1"/>
        <v>0.99691128459176326</v>
      </c>
      <c r="R22">
        <f t="shared" si="7"/>
        <v>1</v>
      </c>
      <c r="S22">
        <f t="shared" si="2"/>
        <v>1.014971572840029</v>
      </c>
      <c r="T22">
        <v>110</v>
      </c>
      <c r="U22">
        <f t="shared" si="3"/>
        <v>2.0661465569392547E-2</v>
      </c>
      <c r="V22">
        <f t="shared" si="4"/>
        <v>91.25</v>
      </c>
      <c r="W22">
        <f t="shared" si="5"/>
        <v>207.3894606527777</v>
      </c>
      <c r="AB22" t="s">
        <v>81</v>
      </c>
      <c r="AC22">
        <v>2</v>
      </c>
      <c r="AD22">
        <v>2</v>
      </c>
      <c r="AE22">
        <v>2</v>
      </c>
      <c r="AF22">
        <v>2</v>
      </c>
      <c r="AG22">
        <v>2</v>
      </c>
      <c r="AH22">
        <v>2</v>
      </c>
    </row>
    <row r="23" spans="1:34" x14ac:dyDescent="0.2">
      <c r="A23">
        <v>4</v>
      </c>
      <c r="C23" t="s">
        <v>75</v>
      </c>
      <c r="D23" t="s">
        <v>80</v>
      </c>
      <c r="E23">
        <v>95</v>
      </c>
      <c r="F23">
        <v>88</v>
      </c>
      <c r="G23">
        <f t="shared" si="8"/>
        <v>0.83599999999999997</v>
      </c>
      <c r="H23">
        <f>$AC$3</f>
        <v>1.3</v>
      </c>
      <c r="J23">
        <f>$AF$17</f>
        <v>2.9</v>
      </c>
      <c r="L23">
        <f>$AF$45</f>
        <v>0.75</v>
      </c>
      <c r="M23">
        <f t="shared" si="0"/>
        <v>0.5948500000000001</v>
      </c>
      <c r="O23">
        <f>$AF$72</f>
        <v>54</v>
      </c>
      <c r="P23">
        <f t="shared" si="6"/>
        <v>1.2720847291262878</v>
      </c>
      <c r="Q23">
        <f t="shared" si="1"/>
        <v>0.9999999504359468</v>
      </c>
      <c r="R23">
        <f t="shared" si="7"/>
        <v>1.2507999999999999</v>
      </c>
      <c r="S23">
        <f t="shared" si="2"/>
        <v>1.5911235003286268</v>
      </c>
      <c r="T23">
        <v>80</v>
      </c>
      <c r="U23">
        <f t="shared" si="3"/>
        <v>3.1493121806178186E-2</v>
      </c>
      <c r="V23">
        <f t="shared" si="4"/>
        <v>91.25</v>
      </c>
      <c r="W23">
        <f t="shared" si="5"/>
        <v>229.89978918510076</v>
      </c>
      <c r="AB23" t="s">
        <v>82</v>
      </c>
      <c r="AC23">
        <v>2.2000000000000002</v>
      </c>
      <c r="AD23">
        <v>2.2000000000000002</v>
      </c>
      <c r="AE23">
        <v>2.2000000000000002</v>
      </c>
      <c r="AF23">
        <v>2.2000000000000002</v>
      </c>
      <c r="AG23">
        <v>2.2000000000000002</v>
      </c>
      <c r="AH23">
        <v>2.2000000000000002</v>
      </c>
    </row>
    <row r="24" spans="1:34" x14ac:dyDescent="0.2">
      <c r="D24" t="s">
        <v>81</v>
      </c>
      <c r="E24">
        <v>0</v>
      </c>
      <c r="F24">
        <v>0</v>
      </c>
      <c r="G24">
        <v>0</v>
      </c>
      <c r="J24">
        <f>$AF$18</f>
        <v>2.5</v>
      </c>
      <c r="L24">
        <f>$AF$46</f>
        <v>0.61</v>
      </c>
      <c r="M24">
        <f t="shared" si="0"/>
        <v>0.48354999999999998</v>
      </c>
      <c r="O24">
        <f>$AF$73</f>
        <v>49</v>
      </c>
      <c r="P24">
        <f t="shared" si="6"/>
        <v>0.93843421889903578</v>
      </c>
      <c r="Q24">
        <f t="shared" si="1"/>
        <v>0.99999627334682795</v>
      </c>
      <c r="R24">
        <f t="shared" si="7"/>
        <v>1</v>
      </c>
      <c r="S24">
        <f t="shared" si="2"/>
        <v>0.93843072168017716</v>
      </c>
      <c r="T24">
        <v>90</v>
      </c>
      <c r="U24">
        <f t="shared" si="3"/>
        <v>1.9222497567587333E-2</v>
      </c>
      <c r="V24">
        <f t="shared" si="4"/>
        <v>91.25</v>
      </c>
      <c r="W24">
        <f t="shared" si="5"/>
        <v>157.86476127381098</v>
      </c>
      <c r="AB24" t="s">
        <v>83</v>
      </c>
      <c r="AC24">
        <v>1.7</v>
      </c>
      <c r="AD24">
        <v>1.7</v>
      </c>
      <c r="AE24">
        <v>1.7</v>
      </c>
      <c r="AF24">
        <v>1.7</v>
      </c>
      <c r="AG24">
        <v>1.7</v>
      </c>
      <c r="AH24">
        <v>1.7</v>
      </c>
    </row>
    <row r="25" spans="1:34" x14ac:dyDescent="0.2">
      <c r="D25" t="s">
        <v>82</v>
      </c>
      <c r="E25">
        <v>0</v>
      </c>
      <c r="F25">
        <v>0</v>
      </c>
      <c r="G25">
        <v>0</v>
      </c>
      <c r="J25">
        <f>$AF$19</f>
        <v>1.6</v>
      </c>
      <c r="L25">
        <f>$AF$47</f>
        <v>0.64</v>
      </c>
      <c r="M25">
        <f t="shared" si="0"/>
        <v>0.50740000000000007</v>
      </c>
      <c r="O25">
        <f>$AF$74</f>
        <v>50</v>
      </c>
      <c r="P25">
        <f t="shared" si="6"/>
        <v>1.0054871153505722</v>
      </c>
      <c r="Q25">
        <f t="shared" si="1"/>
        <v>0.99402397710499402</v>
      </c>
      <c r="R25">
        <f t="shared" si="7"/>
        <v>1</v>
      </c>
      <c r="S25">
        <f t="shared" si="2"/>
        <v>0.99947830132860371</v>
      </c>
      <c r="T25">
        <v>80</v>
      </c>
      <c r="U25">
        <f t="shared" si="3"/>
        <v>2.0370192064977751E-2</v>
      </c>
      <c r="V25">
        <f t="shared" si="4"/>
        <v>91.25</v>
      </c>
      <c r="W25">
        <f t="shared" si="5"/>
        <v>148.70240207433758</v>
      </c>
      <c r="AA25" t="s">
        <v>87</v>
      </c>
      <c r="AB25" t="s">
        <v>80</v>
      </c>
      <c r="AC25">
        <v>4</v>
      </c>
      <c r="AD25">
        <v>4</v>
      </c>
      <c r="AE25">
        <v>4</v>
      </c>
      <c r="AF25">
        <v>4</v>
      </c>
      <c r="AG25">
        <v>4</v>
      </c>
      <c r="AH25">
        <v>4</v>
      </c>
    </row>
    <row r="26" spans="1:34" x14ac:dyDescent="0.2">
      <c r="D26" t="s">
        <v>83</v>
      </c>
      <c r="E26">
        <v>0</v>
      </c>
      <c r="F26">
        <v>0</v>
      </c>
      <c r="G26">
        <v>0</v>
      </c>
      <c r="J26">
        <f>$AF$20</f>
        <v>1.7</v>
      </c>
      <c r="L26">
        <f>$AF$48</f>
        <v>0.72</v>
      </c>
      <c r="M26">
        <f t="shared" si="0"/>
        <v>0.57100000000000006</v>
      </c>
      <c r="O26">
        <f>$AF$75</f>
        <v>50</v>
      </c>
      <c r="P26">
        <f t="shared" si="6"/>
        <v>1.1306948910936463</v>
      </c>
      <c r="Q26">
        <f t="shared" si="1"/>
        <v>0.99691128459176326</v>
      </c>
      <c r="R26">
        <f t="shared" si="7"/>
        <v>1</v>
      </c>
      <c r="S26">
        <f t="shared" si="2"/>
        <v>1.1272024963615108</v>
      </c>
      <c r="T26">
        <v>70</v>
      </c>
      <c r="U26">
        <f t="shared" si="3"/>
        <v>2.2771406931596405E-2</v>
      </c>
      <c r="V26">
        <f t="shared" si="4"/>
        <v>91.25</v>
      </c>
      <c r="W26">
        <f t="shared" si="5"/>
        <v>145.45236177557203</v>
      </c>
      <c r="AB26" t="s">
        <v>81</v>
      </c>
      <c r="AC26">
        <v>2.5</v>
      </c>
      <c r="AD26">
        <v>2.5</v>
      </c>
      <c r="AE26">
        <v>2.5</v>
      </c>
      <c r="AF26">
        <v>2.5</v>
      </c>
      <c r="AG26">
        <v>2.5</v>
      </c>
      <c r="AH26">
        <v>2.5</v>
      </c>
    </row>
    <row r="27" spans="1:34" x14ac:dyDescent="0.2">
      <c r="A27">
        <v>5</v>
      </c>
      <c r="C27" t="s">
        <v>76</v>
      </c>
      <c r="D27" t="s">
        <v>80</v>
      </c>
      <c r="E27">
        <v>0</v>
      </c>
      <c r="F27">
        <v>0</v>
      </c>
      <c r="G27">
        <v>0</v>
      </c>
      <c r="J27">
        <f>$AG$17</f>
        <v>2.9</v>
      </c>
      <c r="L27">
        <f>$AG$45</f>
        <v>0.75</v>
      </c>
      <c r="M27">
        <f t="shared" si="0"/>
        <v>0.5948500000000001</v>
      </c>
      <c r="O27">
        <f>$AG$72</f>
        <v>56</v>
      </c>
      <c r="P27">
        <f t="shared" si="6"/>
        <v>1.3198285488795851</v>
      </c>
      <c r="Q27">
        <f t="shared" si="1"/>
        <v>0.9999999504359468</v>
      </c>
      <c r="R27">
        <v>1</v>
      </c>
      <c r="S27">
        <f t="shared" si="2"/>
        <v>1.3198284834635328</v>
      </c>
      <c r="T27">
        <v>50</v>
      </c>
      <c r="U27">
        <f t="shared" si="3"/>
        <v>2.6392775489114419E-2</v>
      </c>
      <c r="V27">
        <f t="shared" si="4"/>
        <v>91.25</v>
      </c>
      <c r="W27">
        <f t="shared" si="5"/>
        <v>120.41703816908453</v>
      </c>
      <c r="AB27" t="s">
        <v>82</v>
      </c>
      <c r="AC27">
        <v>0.7</v>
      </c>
      <c r="AD27">
        <v>0.7</v>
      </c>
      <c r="AE27">
        <v>0.7</v>
      </c>
      <c r="AF27">
        <v>0.7</v>
      </c>
      <c r="AG27">
        <v>0.7</v>
      </c>
      <c r="AH27">
        <v>0.7</v>
      </c>
    </row>
    <row r="28" spans="1:34" x14ac:dyDescent="0.2">
      <c r="D28" t="s">
        <v>81</v>
      </c>
      <c r="E28">
        <v>0</v>
      </c>
      <c r="F28">
        <v>0</v>
      </c>
      <c r="G28">
        <v>0</v>
      </c>
      <c r="J28">
        <f>$AG$18</f>
        <v>2.5</v>
      </c>
      <c r="L28">
        <f>$AG$46</f>
        <v>0.61</v>
      </c>
      <c r="M28">
        <f t="shared" si="0"/>
        <v>0.48354999999999998</v>
      </c>
      <c r="O28">
        <f>$AG$73</f>
        <v>51</v>
      </c>
      <c r="P28">
        <f t="shared" si="6"/>
        <v>0.97873546256970145</v>
      </c>
      <c r="Q28">
        <f t="shared" si="1"/>
        <v>0.99999627334682795</v>
      </c>
      <c r="R28">
        <v>1</v>
      </c>
      <c r="S28">
        <f t="shared" si="2"/>
        <v>0.97873181516208529</v>
      </c>
      <c r="T28">
        <v>55</v>
      </c>
      <c r="U28">
        <f t="shared" si="3"/>
        <v>1.9980158125047207E-2</v>
      </c>
      <c r="V28">
        <f t="shared" si="4"/>
        <v>91.25</v>
      </c>
      <c r="W28">
        <f t="shared" si="5"/>
        <v>100.27541859008066</v>
      </c>
      <c r="AB28" t="s">
        <v>83</v>
      </c>
      <c r="AC28">
        <v>0.9</v>
      </c>
      <c r="AD28">
        <v>0.9</v>
      </c>
      <c r="AE28">
        <v>0.9</v>
      </c>
      <c r="AF28">
        <v>0.9</v>
      </c>
      <c r="AG28">
        <v>0.9</v>
      </c>
      <c r="AH28">
        <v>0.9</v>
      </c>
    </row>
    <row r="29" spans="1:34" x14ac:dyDescent="0.2">
      <c r="D29" t="s">
        <v>82</v>
      </c>
      <c r="E29">
        <v>0</v>
      </c>
      <c r="F29">
        <v>0</v>
      </c>
      <c r="G29">
        <v>0</v>
      </c>
      <c r="J29">
        <f>$AG$19</f>
        <v>1.6</v>
      </c>
      <c r="L29">
        <f>$AG$47</f>
        <v>0.64</v>
      </c>
      <c r="M29">
        <f t="shared" si="0"/>
        <v>0.50740000000000007</v>
      </c>
      <c r="O29">
        <f>$AG$74</f>
        <v>50</v>
      </c>
      <c r="P29">
        <f t="shared" si="6"/>
        <v>1.0054871153505722</v>
      </c>
      <c r="Q29">
        <f t="shared" si="1"/>
        <v>0.99402397710499402</v>
      </c>
      <c r="R29">
        <v>1</v>
      </c>
      <c r="S29">
        <f t="shared" si="2"/>
        <v>0.99947830132860371</v>
      </c>
      <c r="T29">
        <v>45</v>
      </c>
      <c r="U29">
        <f t="shared" si="3"/>
        <v>2.0370192064977751E-2</v>
      </c>
      <c r="V29">
        <f t="shared" si="4"/>
        <v>91.25</v>
      </c>
      <c r="W29">
        <f t="shared" si="5"/>
        <v>83.645101166814896</v>
      </c>
      <c r="AA29" t="s">
        <v>88</v>
      </c>
      <c r="AB29" t="s">
        <v>80</v>
      </c>
      <c r="AC29">
        <v>2.5</v>
      </c>
      <c r="AD29">
        <v>2.5</v>
      </c>
      <c r="AE29">
        <v>2.5</v>
      </c>
      <c r="AF29">
        <v>2.5</v>
      </c>
      <c r="AG29">
        <v>2.5</v>
      </c>
      <c r="AH29">
        <v>2.5</v>
      </c>
    </row>
    <row r="30" spans="1:34" x14ac:dyDescent="0.2">
      <c r="D30" t="s">
        <v>83</v>
      </c>
      <c r="E30">
        <v>0</v>
      </c>
      <c r="F30">
        <v>0</v>
      </c>
      <c r="G30">
        <v>0</v>
      </c>
      <c r="J30">
        <f>$AG$20</f>
        <v>1.7</v>
      </c>
      <c r="L30">
        <f>$AG$48</f>
        <v>0.72</v>
      </c>
      <c r="M30">
        <f t="shared" si="0"/>
        <v>0.57100000000000006</v>
      </c>
      <c r="O30">
        <f>$AG$75</f>
        <v>51</v>
      </c>
      <c r="P30">
        <f t="shared" si="6"/>
        <v>1.1534721617679149</v>
      </c>
      <c r="Q30">
        <f t="shared" si="1"/>
        <v>0.99691128459176326</v>
      </c>
      <c r="R30">
        <v>1</v>
      </c>
      <c r="S30">
        <f t="shared" si="2"/>
        <v>1.1499094145288902</v>
      </c>
      <c r="T30">
        <v>40</v>
      </c>
      <c r="U30">
        <f t="shared" si="3"/>
        <v>2.3198296993143137E-2</v>
      </c>
      <c r="V30">
        <f t="shared" si="4"/>
        <v>91.25</v>
      </c>
      <c r="W30">
        <f t="shared" si="5"/>
        <v>84.673784024972448</v>
      </c>
      <c r="AB30" t="s">
        <v>81</v>
      </c>
      <c r="AC30">
        <v>2.5</v>
      </c>
      <c r="AD30">
        <v>2.5</v>
      </c>
      <c r="AE30">
        <v>2.5</v>
      </c>
      <c r="AF30">
        <v>2.5</v>
      </c>
      <c r="AG30">
        <v>2.5</v>
      </c>
      <c r="AH30">
        <v>2.5</v>
      </c>
    </row>
    <row r="31" spans="1:34" x14ac:dyDescent="0.2">
      <c r="A31">
        <v>6</v>
      </c>
      <c r="C31" t="s">
        <v>77</v>
      </c>
      <c r="D31" t="s">
        <v>80</v>
      </c>
      <c r="E31">
        <v>0</v>
      </c>
      <c r="F31">
        <v>0</v>
      </c>
      <c r="G31">
        <v>0</v>
      </c>
      <c r="J31">
        <f>$AH$17</f>
        <v>2.9</v>
      </c>
      <c r="L31">
        <f>$AH$45</f>
        <v>0.75</v>
      </c>
      <c r="M31">
        <f t="shared" si="0"/>
        <v>0.5948500000000001</v>
      </c>
      <c r="O31">
        <f>$AH$72</f>
        <v>20</v>
      </c>
      <c r="P31">
        <f t="shared" si="6"/>
        <v>0.5052226861752882</v>
      </c>
      <c r="Q31">
        <f t="shared" si="1"/>
        <v>0.9999999504359468</v>
      </c>
      <c r="R31">
        <v>1</v>
      </c>
      <c r="S31">
        <f t="shared" si="2"/>
        <v>0.50522266113440406</v>
      </c>
      <c r="T31">
        <v>30</v>
      </c>
      <c r="U31">
        <f t="shared" si="3"/>
        <v>1.1078186029326796E-2</v>
      </c>
      <c r="V31">
        <f t="shared" si="4"/>
        <v>91.25</v>
      </c>
      <c r="W31">
        <f t="shared" si="5"/>
        <v>30.326534255282102</v>
      </c>
      <c r="AB31" t="s">
        <v>82</v>
      </c>
      <c r="AC31">
        <v>1.3</v>
      </c>
      <c r="AD31">
        <v>1.3</v>
      </c>
      <c r="AE31">
        <v>1.3</v>
      </c>
      <c r="AF31">
        <v>1.3</v>
      </c>
      <c r="AG31">
        <v>1.3</v>
      </c>
      <c r="AH31">
        <v>1.3</v>
      </c>
    </row>
    <row r="32" spans="1:34" x14ac:dyDescent="0.2">
      <c r="D32" t="s">
        <v>81</v>
      </c>
      <c r="E32">
        <v>0</v>
      </c>
      <c r="F32">
        <v>0</v>
      </c>
      <c r="G32">
        <v>0</v>
      </c>
      <c r="J32">
        <f>$AH$18</f>
        <v>2.5</v>
      </c>
      <c r="L32">
        <f>$AH$46</f>
        <v>0.61</v>
      </c>
      <c r="M32">
        <f t="shared" si="0"/>
        <v>0.48354999999999998</v>
      </c>
      <c r="O32">
        <f>$AH$73</f>
        <v>27</v>
      </c>
      <c r="P32">
        <f t="shared" si="6"/>
        <v>0.52017847077168489</v>
      </c>
      <c r="Q32">
        <f t="shared" si="1"/>
        <v>0.99999627334682795</v>
      </c>
      <c r="R32">
        <v>1</v>
      </c>
      <c r="S32">
        <f t="shared" si="2"/>
        <v>0.52017653224693672</v>
      </c>
      <c r="T32">
        <v>90</v>
      </c>
      <c r="U32">
        <f t="shared" si="3"/>
        <v>1.135931880624241E-2</v>
      </c>
      <c r="V32">
        <f t="shared" si="4"/>
        <v>91.25</v>
      </c>
      <c r="W32">
        <f t="shared" si="5"/>
        <v>93.288405696265798</v>
      </c>
      <c r="AB32" t="s">
        <v>83</v>
      </c>
      <c r="AC32">
        <v>0.8</v>
      </c>
      <c r="AD32">
        <v>0.8</v>
      </c>
      <c r="AE32">
        <v>0.8</v>
      </c>
      <c r="AF32">
        <v>0.8</v>
      </c>
      <c r="AG32">
        <v>0.8</v>
      </c>
      <c r="AH32">
        <v>0.8</v>
      </c>
    </row>
    <row r="33" spans="1:34" x14ac:dyDescent="0.2">
      <c r="D33" t="s">
        <v>82</v>
      </c>
      <c r="E33">
        <v>0</v>
      </c>
      <c r="F33">
        <v>0</v>
      </c>
      <c r="G33">
        <v>0</v>
      </c>
      <c r="J33">
        <f>$AH$19</f>
        <v>1.6</v>
      </c>
      <c r="L33">
        <f>$AH$47</f>
        <v>0.64</v>
      </c>
      <c r="M33">
        <f t="shared" si="0"/>
        <v>0.50740000000000007</v>
      </c>
      <c r="O33">
        <f>$AH$74</f>
        <v>32</v>
      </c>
      <c r="P33">
        <f t="shared" si="6"/>
        <v>0.64511931548462409</v>
      </c>
      <c r="Q33">
        <f t="shared" si="1"/>
        <v>0.99402397710499402</v>
      </c>
      <c r="R33">
        <v>1</v>
      </c>
      <c r="S33">
        <f t="shared" si="2"/>
        <v>0.64126406768527744</v>
      </c>
      <c r="T33">
        <v>80</v>
      </c>
      <c r="U33">
        <f t="shared" si="3"/>
        <v>1.3635764472483216E-2</v>
      </c>
      <c r="V33">
        <f t="shared" si="4"/>
        <v>91.25</v>
      </c>
      <c r="W33">
        <f t="shared" si="5"/>
        <v>99.54108064912748</v>
      </c>
      <c r="AA33" t="s">
        <v>89</v>
      </c>
      <c r="AB33" t="s">
        <v>80</v>
      </c>
      <c r="AC33">
        <v>3.2</v>
      </c>
      <c r="AD33">
        <v>3.2</v>
      </c>
      <c r="AE33">
        <v>3.2</v>
      </c>
      <c r="AF33">
        <v>3.2</v>
      </c>
      <c r="AG33">
        <v>3.2</v>
      </c>
      <c r="AH33">
        <v>3.2</v>
      </c>
    </row>
    <row r="34" spans="1:34" x14ac:dyDescent="0.2">
      <c r="D34" t="s">
        <v>83</v>
      </c>
      <c r="E34">
        <v>0</v>
      </c>
      <c r="F34">
        <v>0</v>
      </c>
      <c r="G34">
        <v>0</v>
      </c>
      <c r="J34">
        <f>$AH$20</f>
        <v>1.7</v>
      </c>
      <c r="L34">
        <f>$AH$48</f>
        <v>0.72</v>
      </c>
      <c r="M34">
        <f t="shared" si="0"/>
        <v>0.57100000000000006</v>
      </c>
      <c r="O34">
        <f>$AH$75</f>
        <v>34</v>
      </c>
      <c r="P34">
        <f t="shared" si="6"/>
        <v>0.77753323213623582</v>
      </c>
      <c r="Q34">
        <f t="shared" si="1"/>
        <v>0.99691128459176326</v>
      </c>
      <c r="R34">
        <v>1</v>
      </c>
      <c r="S34">
        <f t="shared" si="2"/>
        <v>0.77513165326172051</v>
      </c>
      <c r="T34">
        <v>70</v>
      </c>
      <c r="U34">
        <f t="shared" si="3"/>
        <v>1.6152475081320346E-2</v>
      </c>
      <c r="V34">
        <f t="shared" si="4"/>
        <v>91.25</v>
      </c>
      <c r="W34">
        <f t="shared" si="5"/>
        <v>103.17393458193371</v>
      </c>
      <c r="AB34" t="s">
        <v>81</v>
      </c>
      <c r="AC34">
        <v>3</v>
      </c>
      <c r="AD34">
        <v>3</v>
      </c>
      <c r="AE34">
        <v>3</v>
      </c>
      <c r="AF34">
        <v>3</v>
      </c>
      <c r="AG34">
        <v>3</v>
      </c>
      <c r="AH34">
        <v>3</v>
      </c>
    </row>
    <row r="35" spans="1:34" x14ac:dyDescent="0.2">
      <c r="AB35" t="s">
        <v>82</v>
      </c>
      <c r="AC35">
        <v>1.8</v>
      </c>
      <c r="AD35">
        <v>1.8</v>
      </c>
      <c r="AE35">
        <v>1.8</v>
      </c>
      <c r="AF35">
        <v>1.8</v>
      </c>
      <c r="AG35">
        <v>1.8</v>
      </c>
      <c r="AH35">
        <v>1.8</v>
      </c>
    </row>
    <row r="36" spans="1:34" x14ac:dyDescent="0.2">
      <c r="AB36" t="s">
        <v>83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</row>
    <row r="37" spans="1:34" x14ac:dyDescent="0.2">
      <c r="AA37" t="s">
        <v>90</v>
      </c>
      <c r="AB37" t="s">
        <v>80</v>
      </c>
      <c r="AC37">
        <v>3.5</v>
      </c>
      <c r="AD37">
        <v>3.5</v>
      </c>
      <c r="AE37">
        <v>3.5</v>
      </c>
      <c r="AF37">
        <v>3.5</v>
      </c>
      <c r="AG37">
        <v>3.5</v>
      </c>
      <c r="AH37">
        <v>3.5</v>
      </c>
    </row>
    <row r="38" spans="1:34" x14ac:dyDescent="0.2">
      <c r="AB38" t="s">
        <v>81</v>
      </c>
      <c r="AC38">
        <v>1.5</v>
      </c>
      <c r="AD38">
        <v>1.5</v>
      </c>
      <c r="AE38">
        <v>1.5</v>
      </c>
      <c r="AF38">
        <v>1.5</v>
      </c>
      <c r="AG38">
        <v>1.5</v>
      </c>
      <c r="AH38">
        <v>1.5</v>
      </c>
    </row>
    <row r="39" spans="1:34" x14ac:dyDescent="0.2">
      <c r="AB39" t="s">
        <v>82</v>
      </c>
      <c r="AC39">
        <v>0.7</v>
      </c>
      <c r="AD39">
        <v>0.7</v>
      </c>
      <c r="AE39">
        <v>0.7</v>
      </c>
      <c r="AF39">
        <v>0.7</v>
      </c>
      <c r="AG39">
        <v>0.7</v>
      </c>
      <c r="AH39">
        <v>0.7</v>
      </c>
    </row>
    <row r="40" spans="1:34" x14ac:dyDescent="0.2">
      <c r="AB40" t="s">
        <v>83</v>
      </c>
      <c r="AC40">
        <v>1.2</v>
      </c>
      <c r="AD40">
        <v>1.2</v>
      </c>
      <c r="AE40">
        <v>1.2</v>
      </c>
      <c r="AF40">
        <v>1.2</v>
      </c>
      <c r="AG40">
        <v>1.2</v>
      </c>
      <c r="AH40">
        <v>1.2</v>
      </c>
    </row>
    <row r="41" spans="1:34" x14ac:dyDescent="0.2">
      <c r="A41" t="s">
        <v>99</v>
      </c>
      <c r="B41" t="s">
        <v>98</v>
      </c>
      <c r="C41" t="s">
        <v>72</v>
      </c>
      <c r="D41" t="s">
        <v>80</v>
      </c>
      <c r="E41">
        <v>0</v>
      </c>
      <c r="F41">
        <v>0</v>
      </c>
      <c r="G41">
        <v>0</v>
      </c>
      <c r="J41">
        <f>$AC$21</f>
        <v>1.5</v>
      </c>
      <c r="L41">
        <f>$AC$49</f>
        <v>0.51</v>
      </c>
      <c r="M41">
        <f>(0.795 * L41) - 0.0014</f>
        <v>0.40405000000000002</v>
      </c>
      <c r="O41">
        <f>$AC$76</f>
        <v>58</v>
      </c>
      <c r="P41">
        <f>(104.7 * M41 + 0.307 * O41- 15) * POWER(O41, 0.75) * 10^-3</f>
        <v>0.94807819706718344</v>
      </c>
      <c r="Q41">
        <f>1-EXP(-2*POWER(J41,2))</f>
        <v>0.98889100346175773</v>
      </c>
      <c r="R41">
        <v>1</v>
      </c>
      <c r="S41">
        <f>P41 * Q41 * R41</f>
        <v>0.93754599965798113</v>
      </c>
      <c r="T41">
        <v>25</v>
      </c>
      <c r="U41">
        <f>(S41 * 0.0188) + 0.00158</f>
        <v>1.9205864793570046E-2</v>
      </c>
      <c r="V41">
        <f>$AC$4</f>
        <v>91.25</v>
      </c>
      <c r="W41">
        <f>T41*U41*V41</f>
        <v>43.81337906033167</v>
      </c>
      <c r="X41">
        <f>SUM(W41:W64)*10^-3</f>
        <v>1.3794354873019006</v>
      </c>
    </row>
    <row r="42" spans="1:34" x14ac:dyDescent="0.2">
      <c r="D42" t="s">
        <v>81</v>
      </c>
      <c r="E42">
        <v>0</v>
      </c>
      <c r="F42">
        <v>0</v>
      </c>
      <c r="G42">
        <v>0</v>
      </c>
      <c r="J42">
        <f>$AC$22</f>
        <v>2</v>
      </c>
      <c r="L42">
        <f>$AC$50</f>
        <v>0.55000000000000004</v>
      </c>
      <c r="M42">
        <f t="shared" ref="M42:M64" si="9">(0.795 * L42) - 0.0014</f>
        <v>0.43585000000000007</v>
      </c>
      <c r="O42">
        <f>$AC$77</f>
        <v>61</v>
      </c>
      <c r="P42">
        <f>(104.7 * M42 + 0.307 * O42- 15) * POWER(O42, 0.75) * 10^-3</f>
        <v>1.0773997799878814</v>
      </c>
      <c r="Q42">
        <f t="shared" ref="Q42:Q64" si="10">1-EXP(-2*POWER(J42,2))</f>
        <v>0.99966453737209748</v>
      </c>
      <c r="R42">
        <v>1</v>
      </c>
      <c r="S42">
        <f t="shared" ref="S42:S64" si="11">P42 * Q42 * R42</f>
        <v>1.0770383526263851</v>
      </c>
      <c r="T42">
        <v>20</v>
      </c>
      <c r="U42">
        <f t="shared" ref="U42:U64" si="12">(S42 * 0.0188) + 0.00158</f>
        <v>2.1828321029376044E-2</v>
      </c>
      <c r="V42">
        <f t="shared" ref="V42:V64" si="13">$AC$4</f>
        <v>91.25</v>
      </c>
      <c r="W42">
        <f t="shared" ref="W42:W64" si="14">T42*U42*V42</f>
        <v>39.836685878611277</v>
      </c>
    </row>
    <row r="43" spans="1:34" x14ac:dyDescent="0.2">
      <c r="D43" t="s">
        <v>82</v>
      </c>
      <c r="E43">
        <v>0</v>
      </c>
      <c r="F43">
        <v>0</v>
      </c>
      <c r="G43">
        <v>0</v>
      </c>
      <c r="J43">
        <f>$AC$23</f>
        <v>2.2000000000000002</v>
      </c>
      <c r="L43">
        <f>$AC$51</f>
        <v>0.59</v>
      </c>
      <c r="M43">
        <f t="shared" si="9"/>
        <v>0.46765000000000001</v>
      </c>
      <c r="O43">
        <f>$AC$78</f>
        <v>63</v>
      </c>
      <c r="P43">
        <f t="shared" ref="P43:P48" si="15">(104.7 * M43 + 0.307 * O43- 15) * POWER(O43, 0.75) * 10^-3</f>
        <v>1.1919686844423474</v>
      </c>
      <c r="Q43">
        <f t="shared" si="10"/>
        <v>0.99993747849622516</v>
      </c>
      <c r="R43">
        <v>1</v>
      </c>
      <c r="S43">
        <f t="shared" si="11"/>
        <v>1.1918941607677436</v>
      </c>
      <c r="T43">
        <v>19</v>
      </c>
      <c r="U43">
        <f t="shared" si="12"/>
        <v>2.3987610222433581E-2</v>
      </c>
      <c r="V43">
        <f t="shared" si="13"/>
        <v>91.25</v>
      </c>
      <c r="W43">
        <f t="shared" si="14"/>
        <v>41.588519223144225</v>
      </c>
      <c r="AB43" t="s">
        <v>92</v>
      </c>
    </row>
    <row r="44" spans="1:34" x14ac:dyDescent="0.2">
      <c r="D44" t="s">
        <v>83</v>
      </c>
      <c r="E44">
        <v>0</v>
      </c>
      <c r="F44">
        <v>0</v>
      </c>
      <c r="G44">
        <v>0</v>
      </c>
      <c r="J44">
        <f>$AC$24</f>
        <v>1.7</v>
      </c>
      <c r="L44">
        <f>$AC$52</f>
        <v>0.57999999999999996</v>
      </c>
      <c r="M44">
        <f t="shared" si="9"/>
        <v>0.4597</v>
      </c>
      <c r="O44">
        <f>$AC$79</f>
        <v>60</v>
      </c>
      <c r="P44">
        <f t="shared" si="15"/>
        <v>1.1113403376673825</v>
      </c>
      <c r="Q44">
        <f t="shared" si="10"/>
        <v>0.99691128459176326</v>
      </c>
      <c r="R44">
        <v>1</v>
      </c>
      <c r="S44">
        <f t="shared" si="11"/>
        <v>1.1079077236426342</v>
      </c>
      <c r="T44">
        <v>25</v>
      </c>
      <c r="U44">
        <f t="shared" si="12"/>
        <v>2.2408665204481527E-2</v>
      </c>
      <c r="V44">
        <f t="shared" si="13"/>
        <v>91.25</v>
      </c>
      <c r="W44">
        <f t="shared" si="14"/>
        <v>51.11976749772348</v>
      </c>
      <c r="AB44" t="s">
        <v>93</v>
      </c>
    </row>
    <row r="45" spans="1:34" x14ac:dyDescent="0.2">
      <c r="A45">
        <v>2</v>
      </c>
      <c r="C45" t="s">
        <v>73</v>
      </c>
      <c r="D45" t="s">
        <v>80</v>
      </c>
      <c r="E45">
        <v>0</v>
      </c>
      <c r="F45">
        <v>0</v>
      </c>
      <c r="G45">
        <v>0</v>
      </c>
      <c r="J45">
        <f>$AD$21</f>
        <v>1.5</v>
      </c>
      <c r="L45">
        <f>$AD$49</f>
        <v>0.51</v>
      </c>
      <c r="M45">
        <f t="shared" si="9"/>
        <v>0.40405000000000002</v>
      </c>
      <c r="O45">
        <f>$AD$76</f>
        <v>50</v>
      </c>
      <c r="P45">
        <f t="shared" si="15"/>
        <v>0.80202447976807656</v>
      </c>
      <c r="Q45">
        <f t="shared" si="10"/>
        <v>0.98889100346175773</v>
      </c>
      <c r="R45">
        <v>1</v>
      </c>
      <c r="S45">
        <f t="shared" si="11"/>
        <v>0.7931147925987474</v>
      </c>
      <c r="T45">
        <v>50</v>
      </c>
      <c r="U45">
        <f t="shared" si="12"/>
        <v>1.6490558100856454E-2</v>
      </c>
      <c r="V45">
        <f t="shared" si="13"/>
        <v>91.25</v>
      </c>
      <c r="W45">
        <f t="shared" si="14"/>
        <v>75.238171335157574</v>
      </c>
      <c r="AB45" t="s">
        <v>80</v>
      </c>
      <c r="AC45">
        <v>0.75</v>
      </c>
      <c r="AD45">
        <v>0.75</v>
      </c>
      <c r="AE45">
        <v>0.75</v>
      </c>
      <c r="AF45">
        <v>0.75</v>
      </c>
      <c r="AG45">
        <v>0.75</v>
      </c>
      <c r="AH45">
        <v>0.75</v>
      </c>
    </row>
    <row r="46" spans="1:34" x14ac:dyDescent="0.2">
      <c r="D46" t="s">
        <v>81</v>
      </c>
      <c r="E46">
        <v>0</v>
      </c>
      <c r="F46">
        <v>0</v>
      </c>
      <c r="G46">
        <v>0</v>
      </c>
      <c r="J46">
        <f>$AD$22</f>
        <v>2</v>
      </c>
      <c r="L46">
        <f>$AD$50</f>
        <v>0.55000000000000004</v>
      </c>
      <c r="M46">
        <f t="shared" si="9"/>
        <v>0.43585000000000007</v>
      </c>
      <c r="O46">
        <f>$AD$77</f>
        <v>55</v>
      </c>
      <c r="P46">
        <f t="shared" si="15"/>
        <v>0.95969823125361531</v>
      </c>
      <c r="Q46">
        <f t="shared" si="10"/>
        <v>0.99966453737209748</v>
      </c>
      <c r="R46">
        <v>1</v>
      </c>
      <c r="S46">
        <f t="shared" si="11"/>
        <v>0.95937628836296562</v>
      </c>
      <c r="T46">
        <v>60</v>
      </c>
      <c r="U46">
        <f t="shared" si="12"/>
        <v>1.9616274221223758E-2</v>
      </c>
      <c r="V46">
        <f t="shared" si="13"/>
        <v>91.25</v>
      </c>
      <c r="W46">
        <f t="shared" si="14"/>
        <v>107.39910136120008</v>
      </c>
      <c r="AB46" t="s">
        <v>81</v>
      </c>
      <c r="AC46">
        <v>0.61</v>
      </c>
      <c r="AD46">
        <v>0.61</v>
      </c>
      <c r="AE46">
        <v>0.61</v>
      </c>
      <c r="AF46">
        <v>0.61</v>
      </c>
      <c r="AG46">
        <v>0.61</v>
      </c>
      <c r="AH46">
        <v>0.61</v>
      </c>
    </row>
    <row r="47" spans="1:34" x14ac:dyDescent="0.2">
      <c r="D47" t="s">
        <v>82</v>
      </c>
      <c r="E47">
        <v>0</v>
      </c>
      <c r="F47">
        <v>0</v>
      </c>
      <c r="G47">
        <v>0</v>
      </c>
      <c r="J47">
        <f>$AD$23</f>
        <v>2.2000000000000002</v>
      </c>
      <c r="L47">
        <f>$AD$51</f>
        <v>0.59</v>
      </c>
      <c r="M47">
        <f t="shared" si="9"/>
        <v>0.46765000000000001</v>
      </c>
      <c r="O47">
        <f>$AD$78</f>
        <v>55</v>
      </c>
      <c r="P47">
        <f t="shared" si="15"/>
        <v>1.0269410358295947</v>
      </c>
      <c r="Q47">
        <f t="shared" si="10"/>
        <v>0.99993747849622516</v>
      </c>
      <c r="R47">
        <v>1</v>
      </c>
      <c r="S47">
        <f t="shared" si="11"/>
        <v>1.0268768299317466</v>
      </c>
      <c r="T47">
        <v>55</v>
      </c>
      <c r="U47">
        <f t="shared" si="12"/>
        <v>2.0885284402716836E-2</v>
      </c>
      <c r="V47">
        <f t="shared" si="13"/>
        <v>91.25</v>
      </c>
      <c r="W47">
        <f t="shared" si="14"/>
        <v>104.81802109613513</v>
      </c>
      <c r="AB47" t="s">
        <v>82</v>
      </c>
      <c r="AC47">
        <v>0.64</v>
      </c>
      <c r="AD47">
        <v>0.64</v>
      </c>
      <c r="AE47">
        <v>0.64</v>
      </c>
      <c r="AF47">
        <v>0.64</v>
      </c>
      <c r="AG47">
        <v>0.64</v>
      </c>
      <c r="AH47">
        <v>0.64</v>
      </c>
    </row>
    <row r="48" spans="1:34" x14ac:dyDescent="0.2">
      <c r="D48" t="s">
        <v>83</v>
      </c>
      <c r="E48">
        <v>0</v>
      </c>
      <c r="F48">
        <v>0</v>
      </c>
      <c r="G48">
        <v>0</v>
      </c>
      <c r="J48">
        <f>$AD$24</f>
        <v>1.7</v>
      </c>
      <c r="L48">
        <f>$AD$52</f>
        <v>0.57999999999999996</v>
      </c>
      <c r="M48">
        <f t="shared" si="9"/>
        <v>0.4597</v>
      </c>
      <c r="O48">
        <f>$AD$79</f>
        <v>50</v>
      </c>
      <c r="P48">
        <f t="shared" si="15"/>
        <v>0.91158128354326629</v>
      </c>
      <c r="Q48">
        <f t="shared" si="10"/>
        <v>0.99691128459176326</v>
      </c>
      <c r="R48">
        <v>1</v>
      </c>
      <c r="S48">
        <f t="shared" si="11"/>
        <v>0.90876566838692596</v>
      </c>
      <c r="T48">
        <v>55</v>
      </c>
      <c r="U48">
        <f t="shared" si="12"/>
        <v>1.8664794565674211E-2</v>
      </c>
      <c r="V48">
        <f t="shared" si="13"/>
        <v>91.25</v>
      </c>
      <c r="W48">
        <f t="shared" si="14"/>
        <v>93.673937726477448</v>
      </c>
      <c r="AB48" t="s">
        <v>83</v>
      </c>
      <c r="AC48">
        <v>0.72</v>
      </c>
      <c r="AD48">
        <v>0.72</v>
      </c>
      <c r="AE48">
        <v>0.72</v>
      </c>
      <c r="AF48">
        <v>0.72</v>
      </c>
      <c r="AG48">
        <v>0.72</v>
      </c>
      <c r="AH48">
        <v>0.72</v>
      </c>
    </row>
    <row r="49" spans="1:34" x14ac:dyDescent="0.2">
      <c r="A49">
        <v>3</v>
      </c>
      <c r="C49" t="s">
        <v>74</v>
      </c>
      <c r="D49" t="s">
        <v>80</v>
      </c>
      <c r="E49">
        <v>92</v>
      </c>
      <c r="F49">
        <v>87</v>
      </c>
      <c r="G49">
        <f>(E49/100*MIN(F49,100)/100)</f>
        <v>0.80040000000000011</v>
      </c>
      <c r="H49">
        <f>$AC$3</f>
        <v>1.3</v>
      </c>
      <c r="J49">
        <f>$AE$21</f>
        <v>1.5</v>
      </c>
      <c r="L49">
        <f>$AE$49</f>
        <v>0.51</v>
      </c>
      <c r="M49">
        <f t="shared" si="9"/>
        <v>0.40405000000000002</v>
      </c>
      <c r="O49">
        <f>$AE$76</f>
        <v>35</v>
      </c>
      <c r="P49">
        <f>(104.7 * M49 + 0.307 * O49- 15) * POWER(O49, 0.75) * 10^-3</f>
        <v>0.5475133082693564</v>
      </c>
      <c r="Q49">
        <f t="shared" si="10"/>
        <v>0.98889100346175773</v>
      </c>
      <c r="R49">
        <f>(G49 * H49) + (1 - G49)</f>
        <v>1.2401200000000001</v>
      </c>
      <c r="S49">
        <f t="shared" si="11"/>
        <v>0.67143939289888555</v>
      </c>
      <c r="T49">
        <v>60</v>
      </c>
      <c r="U49">
        <f t="shared" si="12"/>
        <v>1.4203060586499049E-2</v>
      </c>
      <c r="V49">
        <f t="shared" si="13"/>
        <v>91.25</v>
      </c>
      <c r="W49">
        <f t="shared" si="14"/>
        <v>77.761756711082285</v>
      </c>
      <c r="AB49" t="s">
        <v>80</v>
      </c>
      <c r="AC49">
        <v>0.51</v>
      </c>
      <c r="AD49">
        <v>0.51</v>
      </c>
      <c r="AE49">
        <v>0.51</v>
      </c>
      <c r="AF49">
        <v>0.51</v>
      </c>
      <c r="AG49">
        <v>0.51</v>
      </c>
      <c r="AH49">
        <v>0.51</v>
      </c>
    </row>
    <row r="50" spans="1:34" x14ac:dyDescent="0.2">
      <c r="D50" t="s">
        <v>81</v>
      </c>
      <c r="E50">
        <v>0</v>
      </c>
      <c r="F50">
        <v>0</v>
      </c>
      <c r="G50">
        <f>(E50/100*MIN(F50,100)/100)</f>
        <v>0</v>
      </c>
      <c r="J50">
        <f>$AE$22</f>
        <v>2</v>
      </c>
      <c r="L50">
        <f>$AE$50</f>
        <v>0.55000000000000004</v>
      </c>
      <c r="M50">
        <f t="shared" si="9"/>
        <v>0.43585000000000007</v>
      </c>
      <c r="O50">
        <f>$AE$77</f>
        <v>40</v>
      </c>
      <c r="P50">
        <f t="shared" ref="P50:P64" si="16">(104.7 * M50 + 0.307 * O50- 15) * POWER(O50, 0.75) * 10^-3</f>
        <v>0.68255692885182395</v>
      </c>
      <c r="Q50">
        <f t="shared" si="10"/>
        <v>0.99966453737209748</v>
      </c>
      <c r="R50">
        <f t="shared" ref="R50:R56" si="17">(G50 * H50) + (1 - G50)</f>
        <v>1</v>
      </c>
      <c r="S50">
        <f t="shared" si="11"/>
        <v>0.68232795651077827</v>
      </c>
      <c r="T50">
        <v>70</v>
      </c>
      <c r="U50">
        <f t="shared" si="12"/>
        <v>1.4407765582402633E-2</v>
      </c>
      <c r="V50">
        <f t="shared" si="13"/>
        <v>91.25</v>
      </c>
      <c r="W50">
        <f t="shared" si="14"/>
        <v>92.029602657596826</v>
      </c>
      <c r="AB50" t="s">
        <v>81</v>
      </c>
      <c r="AC50">
        <v>0.55000000000000004</v>
      </c>
      <c r="AD50">
        <v>0.55000000000000004</v>
      </c>
      <c r="AE50">
        <v>0.55000000000000004</v>
      </c>
      <c r="AF50">
        <v>0.55000000000000004</v>
      </c>
      <c r="AG50">
        <v>0.55000000000000004</v>
      </c>
      <c r="AH50">
        <v>0.55000000000000004</v>
      </c>
    </row>
    <row r="51" spans="1:34" x14ac:dyDescent="0.2">
      <c r="D51" t="s">
        <v>82</v>
      </c>
      <c r="E51">
        <v>0</v>
      </c>
      <c r="F51">
        <v>0</v>
      </c>
      <c r="G51">
        <f t="shared" ref="G51:G53" si="18">(E51/100*MIN(F51,100)/100)</f>
        <v>0</v>
      </c>
      <c r="J51">
        <f>$AE$23</f>
        <v>2.2000000000000002</v>
      </c>
      <c r="L51">
        <f>$AE$51</f>
        <v>0.59</v>
      </c>
      <c r="M51">
        <f t="shared" si="9"/>
        <v>0.46765000000000001</v>
      </c>
      <c r="O51">
        <f>$AE$78</f>
        <v>40</v>
      </c>
      <c r="P51">
        <f t="shared" si="16"/>
        <v>0.73551337046383869</v>
      </c>
      <c r="Q51">
        <f t="shared" si="10"/>
        <v>0.99993747849622516</v>
      </c>
      <c r="R51">
        <f t="shared" si="17"/>
        <v>1</v>
      </c>
      <c r="S51">
        <f t="shared" si="11"/>
        <v>0.73546738506187082</v>
      </c>
      <c r="T51">
        <v>60</v>
      </c>
      <c r="U51">
        <f t="shared" si="12"/>
        <v>1.5406786839163172E-2</v>
      </c>
      <c r="V51">
        <f t="shared" si="13"/>
        <v>91.25</v>
      </c>
      <c r="W51">
        <f t="shared" si="14"/>
        <v>84.352157944418366</v>
      </c>
      <c r="AB51" t="s">
        <v>82</v>
      </c>
      <c r="AC51">
        <v>0.59</v>
      </c>
      <c r="AD51">
        <v>0.59</v>
      </c>
      <c r="AE51">
        <v>0.59</v>
      </c>
      <c r="AF51">
        <v>0.59</v>
      </c>
      <c r="AG51">
        <v>0.59</v>
      </c>
      <c r="AH51">
        <v>0.59</v>
      </c>
    </row>
    <row r="52" spans="1:34" x14ac:dyDescent="0.2">
      <c r="D52" t="s">
        <v>83</v>
      </c>
      <c r="E52">
        <v>0</v>
      </c>
      <c r="F52">
        <v>0</v>
      </c>
      <c r="G52">
        <f t="shared" si="18"/>
        <v>0</v>
      </c>
      <c r="J52">
        <f>$AE$24</f>
        <v>1.7</v>
      </c>
      <c r="L52">
        <f>$AE$52</f>
        <v>0.57999999999999996</v>
      </c>
      <c r="M52">
        <f t="shared" si="9"/>
        <v>0.4597</v>
      </c>
      <c r="O52">
        <f>$AE$79</f>
        <v>35</v>
      </c>
      <c r="P52">
        <f t="shared" si="16"/>
        <v>0.63135555036204949</v>
      </c>
      <c r="Q52">
        <f t="shared" si="10"/>
        <v>0.99691128459176326</v>
      </c>
      <c r="R52">
        <f t="shared" si="17"/>
        <v>1</v>
      </c>
      <c r="S52">
        <f t="shared" si="11"/>
        <v>0.62940547274557046</v>
      </c>
      <c r="T52">
        <v>50</v>
      </c>
      <c r="U52">
        <f t="shared" si="12"/>
        <v>1.3412822887616725E-2</v>
      </c>
      <c r="V52">
        <f t="shared" si="13"/>
        <v>91.25</v>
      </c>
      <c r="W52">
        <f t="shared" si="14"/>
        <v>61.196004424751308</v>
      </c>
      <c r="AB52" t="s">
        <v>83</v>
      </c>
      <c r="AC52">
        <v>0.57999999999999996</v>
      </c>
      <c r="AD52">
        <v>0.57999999999999996</v>
      </c>
      <c r="AE52">
        <v>0.57999999999999996</v>
      </c>
      <c r="AF52">
        <v>0.57999999999999996</v>
      </c>
      <c r="AG52">
        <v>0.57999999999999996</v>
      </c>
      <c r="AH52">
        <v>0.57999999999999996</v>
      </c>
    </row>
    <row r="53" spans="1:34" x14ac:dyDescent="0.2">
      <c r="A53">
        <v>4</v>
      </c>
      <c r="C53" t="s">
        <v>75</v>
      </c>
      <c r="D53" t="s">
        <v>80</v>
      </c>
      <c r="E53">
        <v>95</v>
      </c>
      <c r="F53">
        <v>88</v>
      </c>
      <c r="G53">
        <f t="shared" si="18"/>
        <v>0.83599999999999997</v>
      </c>
      <c r="H53">
        <f>$AC$3</f>
        <v>1.3</v>
      </c>
      <c r="J53">
        <f>$AF$21</f>
        <v>1.5</v>
      </c>
      <c r="L53">
        <f>$AF$49</f>
        <v>0.51</v>
      </c>
      <c r="M53">
        <f t="shared" si="9"/>
        <v>0.40405000000000002</v>
      </c>
      <c r="O53">
        <f>$AF$76</f>
        <v>40</v>
      </c>
      <c r="P53">
        <f t="shared" si="16"/>
        <v>0.62960048723980899</v>
      </c>
      <c r="Q53">
        <f t="shared" si="10"/>
        <v>0.98889100346175773</v>
      </c>
      <c r="R53">
        <f t="shared" si="17"/>
        <v>1.2507999999999999</v>
      </c>
      <c r="S53">
        <f t="shared" si="11"/>
        <v>0.77875590701431807</v>
      </c>
      <c r="T53">
        <v>40</v>
      </c>
      <c r="U53">
        <f t="shared" si="12"/>
        <v>1.6220611051869182E-2</v>
      </c>
      <c r="V53">
        <f t="shared" si="13"/>
        <v>91.25</v>
      </c>
      <c r="W53">
        <f t="shared" si="14"/>
        <v>59.205230339322519</v>
      </c>
      <c r="AB53" t="s">
        <v>80</v>
      </c>
      <c r="AC53">
        <v>0.7</v>
      </c>
      <c r="AD53">
        <v>0.7</v>
      </c>
      <c r="AE53">
        <v>0.7</v>
      </c>
      <c r="AF53">
        <v>0.7</v>
      </c>
      <c r="AG53">
        <v>0.7</v>
      </c>
      <c r="AH53">
        <v>0.7</v>
      </c>
    </row>
    <row r="54" spans="1:34" x14ac:dyDescent="0.2">
      <c r="D54" t="s">
        <v>81</v>
      </c>
      <c r="E54">
        <v>0</v>
      </c>
      <c r="F54">
        <v>0</v>
      </c>
      <c r="G54">
        <v>0</v>
      </c>
      <c r="J54">
        <f>$AF$22</f>
        <v>2</v>
      </c>
      <c r="L54">
        <f>$AF$50</f>
        <v>0.55000000000000004</v>
      </c>
      <c r="M54">
        <f t="shared" si="9"/>
        <v>0.43585000000000007</v>
      </c>
      <c r="O54">
        <f>$AF$77</f>
        <v>45</v>
      </c>
      <c r="P54">
        <f t="shared" si="16"/>
        <v>0.77226516609487061</v>
      </c>
      <c r="Q54">
        <f t="shared" si="10"/>
        <v>0.99966453737209748</v>
      </c>
      <c r="R54">
        <f t="shared" si="17"/>
        <v>1</v>
      </c>
      <c r="S54">
        <f t="shared" si="11"/>
        <v>0.77200609999281489</v>
      </c>
      <c r="T54">
        <v>45</v>
      </c>
      <c r="U54">
        <f t="shared" si="12"/>
        <v>1.609371467986492E-2</v>
      </c>
      <c r="V54">
        <f t="shared" si="13"/>
        <v>91.25</v>
      </c>
      <c r="W54">
        <f t="shared" si="14"/>
        <v>66.084815904195324</v>
      </c>
      <c r="AB54" t="s">
        <v>81</v>
      </c>
      <c r="AC54">
        <v>0.55000000000000004</v>
      </c>
      <c r="AD54">
        <v>0.55000000000000004</v>
      </c>
      <c r="AE54">
        <v>0.55000000000000004</v>
      </c>
      <c r="AF54">
        <v>0.55000000000000004</v>
      </c>
      <c r="AG54">
        <v>0.55000000000000004</v>
      </c>
      <c r="AH54">
        <v>0.55000000000000004</v>
      </c>
    </row>
    <row r="55" spans="1:34" x14ac:dyDescent="0.2">
      <c r="D55" t="s">
        <v>82</v>
      </c>
      <c r="E55">
        <v>0</v>
      </c>
      <c r="F55">
        <v>0</v>
      </c>
      <c r="G55">
        <v>0</v>
      </c>
      <c r="J55">
        <f>$AF$23</f>
        <v>2.2000000000000002</v>
      </c>
      <c r="L55">
        <f>$AF$51</f>
        <v>0.59</v>
      </c>
      <c r="M55">
        <f t="shared" si="9"/>
        <v>0.46765000000000001</v>
      </c>
      <c r="O55">
        <f>$AF$78</f>
        <v>45</v>
      </c>
      <c r="P55">
        <f t="shared" si="16"/>
        <v>0.8301124785833186</v>
      </c>
      <c r="Q55">
        <f t="shared" si="10"/>
        <v>0.99993747849622516</v>
      </c>
      <c r="R55">
        <f t="shared" si="17"/>
        <v>1</v>
      </c>
      <c r="S55">
        <f t="shared" si="11"/>
        <v>0.83006057870285532</v>
      </c>
      <c r="T55">
        <v>40</v>
      </c>
      <c r="U55">
        <f t="shared" si="12"/>
        <v>1.7185138879613683E-2</v>
      </c>
      <c r="V55">
        <f t="shared" si="13"/>
        <v>91.25</v>
      </c>
      <c r="W55">
        <f t="shared" si="14"/>
        <v>62.725756910589936</v>
      </c>
      <c r="AB55" t="s">
        <v>82</v>
      </c>
      <c r="AC55">
        <v>0.55000000000000004</v>
      </c>
      <c r="AD55">
        <v>0.55000000000000004</v>
      </c>
      <c r="AE55">
        <v>0.55000000000000004</v>
      </c>
      <c r="AF55">
        <v>0.55000000000000004</v>
      </c>
      <c r="AG55">
        <v>0.55000000000000004</v>
      </c>
      <c r="AH55">
        <v>0.55000000000000004</v>
      </c>
    </row>
    <row r="56" spans="1:34" x14ac:dyDescent="0.2">
      <c r="D56" t="s">
        <v>83</v>
      </c>
      <c r="E56">
        <v>0</v>
      </c>
      <c r="F56">
        <v>0</v>
      </c>
      <c r="G56">
        <v>0</v>
      </c>
      <c r="J56">
        <f>$AF$24</f>
        <v>1.7</v>
      </c>
      <c r="L56">
        <f>$AF$52</f>
        <v>0.57999999999999996</v>
      </c>
      <c r="M56">
        <f t="shared" si="9"/>
        <v>0.4597</v>
      </c>
      <c r="O56">
        <f>$AF$79</f>
        <v>42</v>
      </c>
      <c r="P56">
        <f t="shared" si="16"/>
        <v>0.7593235966549482</v>
      </c>
      <c r="Q56">
        <f t="shared" si="10"/>
        <v>0.99691128459176326</v>
      </c>
      <c r="R56">
        <f t="shared" si="17"/>
        <v>1</v>
      </c>
      <c r="S56">
        <f t="shared" si="11"/>
        <v>0.75697826216212227</v>
      </c>
      <c r="T56">
        <v>35</v>
      </c>
      <c r="U56">
        <f t="shared" si="12"/>
        <v>1.5811191328647899E-2</v>
      </c>
      <c r="V56">
        <f t="shared" si="13"/>
        <v>91.25</v>
      </c>
      <c r="W56">
        <f t="shared" si="14"/>
        <v>50.496992305869227</v>
      </c>
      <c r="AB56" t="s">
        <v>83</v>
      </c>
      <c r="AC56">
        <v>0.75</v>
      </c>
      <c r="AD56">
        <v>0.75</v>
      </c>
      <c r="AE56">
        <v>0.75</v>
      </c>
      <c r="AF56">
        <v>0.75</v>
      </c>
      <c r="AG56">
        <v>0.75</v>
      </c>
      <c r="AH56">
        <v>0.75</v>
      </c>
    </row>
    <row r="57" spans="1:34" x14ac:dyDescent="0.2">
      <c r="A57">
        <v>5</v>
      </c>
      <c r="C57" t="s">
        <v>76</v>
      </c>
      <c r="D57" t="s">
        <v>80</v>
      </c>
      <c r="E57">
        <v>0</v>
      </c>
      <c r="F57">
        <v>0</v>
      </c>
      <c r="G57">
        <v>0</v>
      </c>
      <c r="J57">
        <f>$AG$21</f>
        <v>1.5</v>
      </c>
      <c r="L57">
        <f>$AG$49</f>
        <v>0.51</v>
      </c>
      <c r="M57">
        <f t="shared" si="9"/>
        <v>0.40405000000000002</v>
      </c>
      <c r="O57">
        <f>$AG$76</f>
        <v>45</v>
      </c>
      <c r="P57">
        <f t="shared" si="16"/>
        <v>0.71441785360642229</v>
      </c>
      <c r="Q57">
        <f t="shared" si="10"/>
        <v>0.98889100346175773</v>
      </c>
      <c r="R57">
        <v>1</v>
      </c>
      <c r="S57">
        <f t="shared" si="11"/>
        <v>0.70648138814385009</v>
      </c>
      <c r="T57">
        <v>25</v>
      </c>
      <c r="U57">
        <f t="shared" si="12"/>
        <v>1.4861850097104381E-2</v>
      </c>
      <c r="V57">
        <f t="shared" si="13"/>
        <v>91.25</v>
      </c>
      <c r="W57">
        <f t="shared" si="14"/>
        <v>33.903595534019367</v>
      </c>
      <c r="AB57" t="s">
        <v>80</v>
      </c>
      <c r="AC57">
        <v>0.75</v>
      </c>
      <c r="AD57">
        <v>0.75</v>
      </c>
      <c r="AE57">
        <v>0.75</v>
      </c>
      <c r="AF57">
        <v>0.75</v>
      </c>
      <c r="AG57">
        <v>0.75</v>
      </c>
      <c r="AH57">
        <v>0.75</v>
      </c>
    </row>
    <row r="58" spans="1:34" x14ac:dyDescent="0.2">
      <c r="D58" t="s">
        <v>81</v>
      </c>
      <c r="E58">
        <v>0</v>
      </c>
      <c r="F58">
        <v>0</v>
      </c>
      <c r="G58">
        <v>0</v>
      </c>
      <c r="J58">
        <f>$AG$22</f>
        <v>2</v>
      </c>
      <c r="L58">
        <f>$AG$50</f>
        <v>0.55000000000000004</v>
      </c>
      <c r="M58">
        <f t="shared" si="9"/>
        <v>0.43585000000000007</v>
      </c>
      <c r="O58">
        <f>$AG$77</f>
        <v>50</v>
      </c>
      <c r="P58">
        <f t="shared" si="16"/>
        <v>0.8646283676396137</v>
      </c>
      <c r="Q58">
        <f t="shared" si="10"/>
        <v>0.99966453737209748</v>
      </c>
      <c r="R58">
        <v>1</v>
      </c>
      <c r="S58">
        <f t="shared" si="11"/>
        <v>0.86433831713524623</v>
      </c>
      <c r="T58">
        <v>30</v>
      </c>
      <c r="U58">
        <f t="shared" si="12"/>
        <v>1.782956036214263E-2</v>
      </c>
      <c r="V58">
        <f t="shared" si="13"/>
        <v>91.25</v>
      </c>
      <c r="W58">
        <f t="shared" si="14"/>
        <v>48.808421491365451</v>
      </c>
      <c r="AB58" t="s">
        <v>81</v>
      </c>
      <c r="AC58">
        <v>0.55000000000000004</v>
      </c>
      <c r="AD58">
        <v>0.55000000000000004</v>
      </c>
      <c r="AE58">
        <v>0.55000000000000004</v>
      </c>
      <c r="AF58">
        <v>0.55000000000000004</v>
      </c>
      <c r="AG58">
        <v>0.55000000000000004</v>
      </c>
      <c r="AH58">
        <v>0.55000000000000004</v>
      </c>
    </row>
    <row r="59" spans="1:34" x14ac:dyDescent="0.2">
      <c r="D59" t="s">
        <v>82</v>
      </c>
      <c r="E59">
        <v>0</v>
      </c>
      <c r="F59">
        <v>0</v>
      </c>
      <c r="G59">
        <v>0</v>
      </c>
      <c r="J59">
        <f>$AG$23</f>
        <v>2.2000000000000002</v>
      </c>
      <c r="L59">
        <f>$AG$51</f>
        <v>0.59</v>
      </c>
      <c r="M59">
        <f t="shared" si="9"/>
        <v>0.46765000000000001</v>
      </c>
      <c r="O59">
        <f>$AG$78</f>
        <v>50</v>
      </c>
      <c r="P59">
        <f t="shared" si="16"/>
        <v>0.92723225551115063</v>
      </c>
      <c r="Q59">
        <f t="shared" si="10"/>
        <v>0.99993747849622516</v>
      </c>
      <c r="R59">
        <v>1</v>
      </c>
      <c r="S59">
        <f t="shared" si="11"/>
        <v>0.92717428355618758</v>
      </c>
      <c r="T59">
        <v>25</v>
      </c>
      <c r="U59">
        <f t="shared" si="12"/>
        <v>1.9010876530856327E-2</v>
      </c>
      <c r="V59">
        <f t="shared" si="13"/>
        <v>91.25</v>
      </c>
      <c r="W59">
        <f t="shared" si="14"/>
        <v>43.368562086015991</v>
      </c>
      <c r="AB59" t="s">
        <v>82</v>
      </c>
      <c r="AC59">
        <v>0.67</v>
      </c>
      <c r="AD59">
        <v>0.67</v>
      </c>
      <c r="AE59">
        <v>0.67</v>
      </c>
      <c r="AF59">
        <v>0.67</v>
      </c>
      <c r="AG59">
        <v>0.67</v>
      </c>
      <c r="AH59">
        <v>0.67</v>
      </c>
    </row>
    <row r="60" spans="1:34" x14ac:dyDescent="0.2">
      <c r="D60" t="s">
        <v>83</v>
      </c>
      <c r="E60">
        <v>0</v>
      </c>
      <c r="F60">
        <v>0</v>
      </c>
      <c r="G60">
        <v>0</v>
      </c>
      <c r="J60">
        <f>$AG$24</f>
        <v>1.7</v>
      </c>
      <c r="L60">
        <f>$AG$52</f>
        <v>0.57999999999999996</v>
      </c>
      <c r="M60">
        <f t="shared" si="9"/>
        <v>0.4597</v>
      </c>
      <c r="O60">
        <f>$AG$79</f>
        <v>48</v>
      </c>
      <c r="P60">
        <f t="shared" si="16"/>
        <v>0.87289783757888828</v>
      </c>
      <c r="Q60">
        <f t="shared" si="10"/>
        <v>0.99691128459176326</v>
      </c>
      <c r="R60">
        <v>1</v>
      </c>
      <c r="S60">
        <f t="shared" si="11"/>
        <v>0.87020170457814183</v>
      </c>
      <c r="T60">
        <v>20</v>
      </c>
      <c r="U60">
        <f t="shared" si="12"/>
        <v>1.7939792046069068E-2</v>
      </c>
      <c r="V60">
        <f t="shared" si="13"/>
        <v>91.25</v>
      </c>
      <c r="W60">
        <f t="shared" si="14"/>
        <v>32.740120484076051</v>
      </c>
      <c r="AB60" t="s">
        <v>83</v>
      </c>
      <c r="AC60">
        <v>0.7</v>
      </c>
      <c r="AD60">
        <v>0.7</v>
      </c>
      <c r="AE60">
        <v>0.7</v>
      </c>
      <c r="AF60">
        <v>0.7</v>
      </c>
      <c r="AG60">
        <v>0.7</v>
      </c>
      <c r="AH60">
        <v>0.7</v>
      </c>
    </row>
    <row r="61" spans="1:34" x14ac:dyDescent="0.2">
      <c r="A61">
        <v>6</v>
      </c>
      <c r="C61" t="s">
        <v>77</v>
      </c>
      <c r="D61" t="s">
        <v>80</v>
      </c>
      <c r="E61">
        <v>0</v>
      </c>
      <c r="F61">
        <v>0</v>
      </c>
      <c r="G61">
        <v>0</v>
      </c>
      <c r="J61">
        <f>$AH$21</f>
        <v>1.5</v>
      </c>
      <c r="L61">
        <f>$AH$49</f>
        <v>0.51</v>
      </c>
      <c r="M61">
        <f t="shared" si="9"/>
        <v>0.40405000000000002</v>
      </c>
      <c r="O61">
        <f>$AH$76</f>
        <v>20</v>
      </c>
      <c r="P61">
        <f t="shared" si="16"/>
        <v>0.31629415472458533</v>
      </c>
      <c r="Q61">
        <f t="shared" si="10"/>
        <v>0.98889100346175773</v>
      </c>
      <c r="R61">
        <v>1</v>
      </c>
      <c r="S61">
        <f t="shared" si="11"/>
        <v>0.31278044405468364</v>
      </c>
      <c r="T61">
        <v>15</v>
      </c>
      <c r="U61">
        <f t="shared" si="12"/>
        <v>7.4602723482280527E-3</v>
      </c>
      <c r="V61">
        <f t="shared" si="13"/>
        <v>91.25</v>
      </c>
      <c r="W61">
        <f t="shared" si="14"/>
        <v>10.211247776637148</v>
      </c>
      <c r="AB61" t="s">
        <v>80</v>
      </c>
      <c r="AC61">
        <v>0.7</v>
      </c>
      <c r="AD61">
        <v>0.7</v>
      </c>
      <c r="AE61">
        <v>0.7</v>
      </c>
      <c r="AF61">
        <v>0.7</v>
      </c>
      <c r="AG61">
        <v>0.7</v>
      </c>
      <c r="AH61">
        <v>0.7</v>
      </c>
    </row>
    <row r="62" spans="1:34" x14ac:dyDescent="0.2">
      <c r="D62" t="s">
        <v>81</v>
      </c>
      <c r="E62">
        <v>0</v>
      </c>
      <c r="F62">
        <v>0</v>
      </c>
      <c r="G62">
        <v>0</v>
      </c>
      <c r="J62">
        <f>$AH$22</f>
        <v>2</v>
      </c>
      <c r="L62">
        <f>$AH$50</f>
        <v>0.55000000000000004</v>
      </c>
      <c r="M62">
        <f t="shared" si="9"/>
        <v>0.43585000000000007</v>
      </c>
      <c r="O62">
        <f>$AH$77</f>
        <v>25</v>
      </c>
      <c r="P62">
        <f t="shared" si="16"/>
        <v>0.42830199467855401</v>
      </c>
      <c r="Q62">
        <f t="shared" si="10"/>
        <v>0.99966453737209748</v>
      </c>
      <c r="R62">
        <v>1</v>
      </c>
      <c r="S62">
        <f t="shared" si="11"/>
        <v>0.42815831536588328</v>
      </c>
      <c r="T62">
        <v>45</v>
      </c>
      <c r="U62">
        <f t="shared" si="12"/>
        <v>9.6293763288786052E-3</v>
      </c>
      <c r="V62">
        <f t="shared" si="13"/>
        <v>91.25</v>
      </c>
      <c r="W62">
        <f t="shared" si="14"/>
        <v>39.540626550457773</v>
      </c>
      <c r="AB62" t="s">
        <v>81</v>
      </c>
      <c r="AC62">
        <v>0.55000000000000004</v>
      </c>
      <c r="AD62">
        <v>0.55000000000000004</v>
      </c>
      <c r="AE62">
        <v>0.55000000000000004</v>
      </c>
      <c r="AF62">
        <v>0.55000000000000004</v>
      </c>
      <c r="AG62">
        <v>0.55000000000000004</v>
      </c>
      <c r="AH62">
        <v>0.55000000000000004</v>
      </c>
    </row>
    <row r="63" spans="1:34" x14ac:dyDescent="0.2">
      <c r="D63" t="s">
        <v>82</v>
      </c>
      <c r="E63">
        <v>0</v>
      </c>
      <c r="F63">
        <v>0</v>
      </c>
      <c r="G63">
        <v>0</v>
      </c>
      <c r="J63">
        <f>$AH$23</f>
        <v>2.2000000000000002</v>
      </c>
      <c r="L63">
        <f>$AH$51</f>
        <v>0.59</v>
      </c>
      <c r="M63">
        <f t="shared" si="9"/>
        <v>0.46765000000000001</v>
      </c>
      <c r="O63">
        <f>$AH$78</f>
        <v>20</v>
      </c>
      <c r="P63">
        <f t="shared" si="16"/>
        <v>0.37927033187481962</v>
      </c>
      <c r="Q63">
        <f t="shared" si="10"/>
        <v>0.99993747849622516</v>
      </c>
      <c r="R63">
        <v>1</v>
      </c>
      <c r="S63">
        <f t="shared" si="11"/>
        <v>0.37924661932333364</v>
      </c>
      <c r="T63">
        <v>40</v>
      </c>
      <c r="U63">
        <f t="shared" si="12"/>
        <v>8.7098364432786728E-3</v>
      </c>
      <c r="V63">
        <f t="shared" si="13"/>
        <v>91.25</v>
      </c>
      <c r="W63">
        <f t="shared" si="14"/>
        <v>31.790903017967157</v>
      </c>
      <c r="AB63" t="s">
        <v>82</v>
      </c>
      <c r="AC63">
        <v>0.65</v>
      </c>
      <c r="AD63">
        <v>0.65</v>
      </c>
      <c r="AE63">
        <v>0.65</v>
      </c>
      <c r="AF63">
        <v>0.65</v>
      </c>
      <c r="AG63">
        <v>0.65</v>
      </c>
      <c r="AH63">
        <v>0.65</v>
      </c>
    </row>
    <row r="64" spans="1:34" x14ac:dyDescent="0.2">
      <c r="D64" t="s">
        <v>83</v>
      </c>
      <c r="E64">
        <v>0</v>
      </c>
      <c r="F64">
        <v>0</v>
      </c>
      <c r="G64">
        <v>0</v>
      </c>
      <c r="J64">
        <f>$AH$24</f>
        <v>1.7</v>
      </c>
      <c r="L64">
        <f>$AH$52</f>
        <v>0.57999999999999996</v>
      </c>
      <c r="M64">
        <f t="shared" si="9"/>
        <v>0.4597</v>
      </c>
      <c r="O64">
        <f>$AH$79</f>
        <v>25</v>
      </c>
      <c r="P64">
        <f t="shared" si="16"/>
        <v>0.45622036550992806</v>
      </c>
      <c r="Q64">
        <f t="shared" si="10"/>
        <v>0.99691128459176326</v>
      </c>
      <c r="R64">
        <v>1</v>
      </c>
      <c r="S64">
        <f t="shared" si="11"/>
        <v>0.45481123063742612</v>
      </c>
      <c r="T64">
        <v>30</v>
      </c>
      <c r="U64">
        <f t="shared" si="12"/>
        <v>1.0130451135983612E-2</v>
      </c>
      <c r="V64">
        <f t="shared" si="13"/>
        <v>91.25</v>
      </c>
      <c r="W64">
        <f t="shared" si="14"/>
        <v>27.732109984755141</v>
      </c>
      <c r="AB64" t="s">
        <v>83</v>
      </c>
      <c r="AC64">
        <v>0.6</v>
      </c>
      <c r="AD64">
        <v>0.6</v>
      </c>
      <c r="AE64">
        <v>0.6</v>
      </c>
      <c r="AF64">
        <v>0.6</v>
      </c>
      <c r="AG64">
        <v>0.6</v>
      </c>
      <c r="AH64">
        <v>0.6</v>
      </c>
    </row>
    <row r="65" spans="1:34" x14ac:dyDescent="0.2">
      <c r="AB65" t="s">
        <v>80</v>
      </c>
      <c r="AC65">
        <v>0.73</v>
      </c>
      <c r="AD65">
        <v>0.73</v>
      </c>
      <c r="AE65">
        <v>0.73</v>
      </c>
      <c r="AF65">
        <v>0.73</v>
      </c>
      <c r="AG65">
        <v>0.73</v>
      </c>
      <c r="AH65">
        <v>0.73</v>
      </c>
    </row>
    <row r="66" spans="1:34" x14ac:dyDescent="0.2">
      <c r="AB66" t="s">
        <v>81</v>
      </c>
      <c r="AC66">
        <v>0.55000000000000004</v>
      </c>
      <c r="AD66">
        <v>0.55000000000000004</v>
      </c>
      <c r="AE66">
        <v>0.55000000000000004</v>
      </c>
      <c r="AF66">
        <v>0.55000000000000004</v>
      </c>
      <c r="AG66">
        <v>0.55000000000000004</v>
      </c>
      <c r="AH66">
        <v>0.55000000000000004</v>
      </c>
    </row>
    <row r="67" spans="1:34" x14ac:dyDescent="0.2">
      <c r="AB67" t="s">
        <v>82</v>
      </c>
      <c r="AC67">
        <v>0.5</v>
      </c>
      <c r="AD67">
        <v>0.5</v>
      </c>
      <c r="AE67">
        <v>0.7</v>
      </c>
      <c r="AF67">
        <v>0.7</v>
      </c>
      <c r="AG67">
        <v>0.5</v>
      </c>
      <c r="AH67">
        <v>0.7</v>
      </c>
    </row>
    <row r="68" spans="1:34" x14ac:dyDescent="0.2">
      <c r="AB68" t="s">
        <v>83</v>
      </c>
      <c r="AC68">
        <v>0.76</v>
      </c>
      <c r="AD68">
        <v>0.76</v>
      </c>
      <c r="AE68">
        <v>0.76</v>
      </c>
      <c r="AF68">
        <v>0.76</v>
      </c>
      <c r="AG68">
        <v>0.76</v>
      </c>
      <c r="AH68">
        <v>0.76</v>
      </c>
    </row>
    <row r="71" spans="1:34" x14ac:dyDescent="0.2">
      <c r="A71" t="s">
        <v>101</v>
      </c>
      <c r="B71" t="s">
        <v>100</v>
      </c>
      <c r="C71" t="s">
        <v>72</v>
      </c>
      <c r="D71" t="s">
        <v>80</v>
      </c>
      <c r="E71">
        <v>0</v>
      </c>
      <c r="F71">
        <v>0</v>
      </c>
      <c r="G71">
        <v>0</v>
      </c>
      <c r="J71">
        <f>$AC$25</f>
        <v>4</v>
      </c>
      <c r="L71">
        <f>$AC$53</f>
        <v>0.7</v>
      </c>
      <c r="M71">
        <f>(0.795 * L71) - 0.0014</f>
        <v>0.55510000000000004</v>
      </c>
      <c r="O71">
        <f>$AC$80</f>
        <v>80</v>
      </c>
      <c r="P71">
        <f>(104.7 * M71 + 0.307 * O71- 15) * POWER(O71, 0.75) * 10^-3</f>
        <v>1.8103862015316043</v>
      </c>
      <c r="Q71">
        <f>1-EXP(-2*POWER(J71,2))</f>
        <v>0.99999999999998734</v>
      </c>
      <c r="R71">
        <v>1</v>
      </c>
      <c r="S71">
        <f>P71 * Q71 * R71</f>
        <v>1.8103862015315815</v>
      </c>
      <c r="T71">
        <v>25</v>
      </c>
      <c r="U71">
        <f>(S71 * 0.0188) + 0.00158</f>
        <v>3.5615260588793732E-2</v>
      </c>
      <c r="V71">
        <f>$AC$4</f>
        <v>91.25</v>
      </c>
      <c r="W71">
        <f>T71*U71*V71</f>
        <v>81.247313218185695</v>
      </c>
      <c r="X71">
        <f>SUM(W71:W94)*10^-3</f>
        <v>1.7302305868306518</v>
      </c>
      <c r="AB71" t="s">
        <v>94</v>
      </c>
      <c r="AC71" t="s">
        <v>61</v>
      </c>
    </row>
    <row r="72" spans="1:34" x14ac:dyDescent="0.2">
      <c r="D72" t="s">
        <v>81</v>
      </c>
      <c r="E72">
        <v>0</v>
      </c>
      <c r="F72">
        <v>0</v>
      </c>
      <c r="G72">
        <v>0</v>
      </c>
      <c r="J72">
        <f>$AC$26</f>
        <v>2.5</v>
      </c>
      <c r="L72">
        <f>$AC$54</f>
        <v>0.55000000000000004</v>
      </c>
      <c r="M72">
        <f t="shared" ref="M72:M94" si="19">(0.795 * L72) - 0.0014</f>
        <v>0.43585000000000007</v>
      </c>
      <c r="O72">
        <f>$AC$81</f>
        <v>70</v>
      </c>
      <c r="P72">
        <f>(104.7 * M72 + 0.307 * O72- 15) * POWER(O72, 0.75) * 10^-3</f>
        <v>1.2614122912776211</v>
      </c>
      <c r="Q72">
        <f t="shared" ref="Q72:Q94" si="20">1-EXP(-2*POWER(J72,2))</f>
        <v>0.99999627334682795</v>
      </c>
      <c r="R72">
        <v>1</v>
      </c>
      <c r="S72">
        <f t="shared" ref="S72:S94" si="21">P72 * Q72 * R72</f>
        <v>1.2614075904315045</v>
      </c>
      <c r="T72">
        <v>20</v>
      </c>
      <c r="U72">
        <f t="shared" ref="U72:U94" si="22">(S72 * 0.0188) + 0.00158</f>
        <v>2.5294462700112288E-2</v>
      </c>
      <c r="V72">
        <f t="shared" ref="V72:V94" si="23">$AC$4</f>
        <v>91.25</v>
      </c>
      <c r="W72">
        <f t="shared" ref="W72:W94" si="24">T72*U72*V72</f>
        <v>46.162394427704925</v>
      </c>
      <c r="AB72" t="s">
        <v>80</v>
      </c>
      <c r="AC72">
        <v>75</v>
      </c>
      <c r="AD72">
        <v>62</v>
      </c>
      <c r="AE72">
        <v>44</v>
      </c>
      <c r="AF72">
        <v>54</v>
      </c>
      <c r="AG72">
        <v>56</v>
      </c>
      <c r="AH72">
        <v>20</v>
      </c>
    </row>
    <row r="73" spans="1:34" x14ac:dyDescent="0.2">
      <c r="D73" t="s">
        <v>82</v>
      </c>
      <c r="E73">
        <v>0</v>
      </c>
      <c r="F73">
        <v>0</v>
      </c>
      <c r="G73">
        <v>0</v>
      </c>
      <c r="J73">
        <f>$AC$27</f>
        <v>0.7</v>
      </c>
      <c r="L73">
        <f>$AC$55</f>
        <v>0.55000000000000004</v>
      </c>
      <c r="M73">
        <f t="shared" si="19"/>
        <v>0.43585000000000007</v>
      </c>
      <c r="O73">
        <f>$AC$82</f>
        <v>70</v>
      </c>
      <c r="P73">
        <f t="shared" ref="P73:P78" si="25">(104.7 * M73 + 0.307 * O73- 15) * POWER(O73, 0.75) * 10^-3</f>
        <v>1.2614122912776211</v>
      </c>
      <c r="Q73">
        <f t="shared" si="20"/>
        <v>0.62468890114860043</v>
      </c>
      <c r="R73">
        <v>1</v>
      </c>
      <c r="S73">
        <f t="shared" si="21"/>
        <v>0.78799025813355539</v>
      </c>
      <c r="T73">
        <v>19</v>
      </c>
      <c r="U73">
        <f t="shared" si="22"/>
        <v>1.6394216852910842E-2</v>
      </c>
      <c r="V73">
        <f t="shared" si="23"/>
        <v>91.25</v>
      </c>
      <c r="W73">
        <f t="shared" si="24"/>
        <v>28.423473468734169</v>
      </c>
      <c r="AB73" t="s">
        <v>81</v>
      </c>
      <c r="AC73">
        <v>75</v>
      </c>
      <c r="AD73">
        <v>55</v>
      </c>
      <c r="AE73">
        <v>42</v>
      </c>
      <c r="AF73">
        <v>49</v>
      </c>
      <c r="AG73">
        <v>51</v>
      </c>
      <c r="AH73">
        <v>27</v>
      </c>
    </row>
    <row r="74" spans="1:34" x14ac:dyDescent="0.2">
      <c r="D74" t="s">
        <v>83</v>
      </c>
      <c r="E74">
        <v>0</v>
      </c>
      <c r="F74">
        <v>0</v>
      </c>
      <c r="G74">
        <v>0</v>
      </c>
      <c r="J74">
        <f>$AC$28</f>
        <v>0.9</v>
      </c>
      <c r="L74">
        <f>$AC$56</f>
        <v>0.75</v>
      </c>
      <c r="M74">
        <f t="shared" si="19"/>
        <v>0.5948500000000001</v>
      </c>
      <c r="O74">
        <f>$AC$83</f>
        <v>70</v>
      </c>
      <c r="P74">
        <f t="shared" si="25"/>
        <v>1.6642845245495062</v>
      </c>
      <c r="Q74">
        <f t="shared" si="20"/>
        <v>0.80210130091638532</v>
      </c>
      <c r="R74">
        <v>1</v>
      </c>
      <c r="S74">
        <f t="shared" si="21"/>
        <v>1.3349247822361667</v>
      </c>
      <c r="T74">
        <v>25</v>
      </c>
      <c r="U74">
        <f t="shared" si="22"/>
        <v>2.6676585906039937E-2</v>
      </c>
      <c r="V74">
        <f t="shared" si="23"/>
        <v>91.25</v>
      </c>
      <c r="W74">
        <f t="shared" si="24"/>
        <v>60.855961598153606</v>
      </c>
      <c r="AB74" t="s">
        <v>82</v>
      </c>
      <c r="AC74">
        <v>69</v>
      </c>
      <c r="AD74">
        <v>55</v>
      </c>
      <c r="AE74">
        <v>43</v>
      </c>
      <c r="AF74">
        <v>50</v>
      </c>
      <c r="AG74">
        <v>50</v>
      </c>
      <c r="AH74">
        <v>32</v>
      </c>
    </row>
    <row r="75" spans="1:34" x14ac:dyDescent="0.2">
      <c r="A75">
        <v>2</v>
      </c>
      <c r="C75" t="s">
        <v>73</v>
      </c>
      <c r="D75" t="s">
        <v>80</v>
      </c>
      <c r="E75">
        <v>0</v>
      </c>
      <c r="F75">
        <v>0</v>
      </c>
      <c r="G75">
        <v>0</v>
      </c>
      <c r="J75">
        <f>$AD$25</f>
        <v>4</v>
      </c>
      <c r="L75">
        <f>$AD$53</f>
        <v>0.7</v>
      </c>
      <c r="M75">
        <f t="shared" si="19"/>
        <v>0.55510000000000004</v>
      </c>
      <c r="O75">
        <f>$AD$80</f>
        <v>70</v>
      </c>
      <c r="P75">
        <f t="shared" si="25"/>
        <v>1.5635664662315347</v>
      </c>
      <c r="Q75">
        <f t="shared" si="20"/>
        <v>0.99999999999998734</v>
      </c>
      <c r="R75">
        <v>1</v>
      </c>
      <c r="S75">
        <f t="shared" si="21"/>
        <v>1.563566466231515</v>
      </c>
      <c r="T75">
        <v>50</v>
      </c>
      <c r="U75">
        <f t="shared" si="22"/>
        <v>3.0975049565152485E-2</v>
      </c>
      <c r="V75">
        <f t="shared" si="23"/>
        <v>91.25</v>
      </c>
      <c r="W75">
        <f t="shared" si="24"/>
        <v>141.32366364100821</v>
      </c>
      <c r="AB75" t="s">
        <v>83</v>
      </c>
      <c r="AC75">
        <v>69</v>
      </c>
      <c r="AD75">
        <v>55</v>
      </c>
      <c r="AE75">
        <v>45</v>
      </c>
      <c r="AF75">
        <v>50</v>
      </c>
      <c r="AG75">
        <v>51</v>
      </c>
      <c r="AH75">
        <v>34</v>
      </c>
    </row>
    <row r="76" spans="1:34" x14ac:dyDescent="0.2">
      <c r="D76" t="s">
        <v>81</v>
      </c>
      <c r="E76">
        <v>0</v>
      </c>
      <c r="F76">
        <v>0</v>
      </c>
      <c r="G76">
        <v>0</v>
      </c>
      <c r="J76">
        <f>$AD$26</f>
        <v>2.5</v>
      </c>
      <c r="L76">
        <f>$AD$54</f>
        <v>0.55000000000000004</v>
      </c>
      <c r="M76">
        <f t="shared" si="19"/>
        <v>0.43585000000000007</v>
      </c>
      <c r="O76">
        <f>$AD$81</f>
        <v>65</v>
      </c>
      <c r="P76">
        <f t="shared" si="25"/>
        <v>1.1580752413958724</v>
      </c>
      <c r="Q76">
        <f t="shared" si="20"/>
        <v>0.99999627334682795</v>
      </c>
      <c r="R76">
        <v>1</v>
      </c>
      <c r="S76">
        <f t="shared" si="21"/>
        <v>1.1580709256511006</v>
      </c>
      <c r="T76">
        <v>60</v>
      </c>
      <c r="U76">
        <f t="shared" si="22"/>
        <v>2.3351733402240695E-2</v>
      </c>
      <c r="V76">
        <f t="shared" si="23"/>
        <v>91.25</v>
      </c>
      <c r="W76">
        <f t="shared" si="24"/>
        <v>127.85074037726781</v>
      </c>
      <c r="AB76" t="s">
        <v>80</v>
      </c>
      <c r="AC76">
        <v>58</v>
      </c>
      <c r="AD76">
        <v>50</v>
      </c>
      <c r="AE76">
        <v>35</v>
      </c>
      <c r="AF76">
        <v>40</v>
      </c>
      <c r="AG76">
        <v>45</v>
      </c>
      <c r="AH76">
        <v>20</v>
      </c>
    </row>
    <row r="77" spans="1:34" x14ac:dyDescent="0.2">
      <c r="D77" t="s">
        <v>82</v>
      </c>
      <c r="E77">
        <v>0</v>
      </c>
      <c r="F77">
        <v>0</v>
      </c>
      <c r="G77">
        <v>0</v>
      </c>
      <c r="J77">
        <f>$AD$27</f>
        <v>0.7</v>
      </c>
      <c r="L77">
        <f>$AD$55</f>
        <v>0.55000000000000004</v>
      </c>
      <c r="M77">
        <f t="shared" si="19"/>
        <v>0.43585000000000007</v>
      </c>
      <c r="O77">
        <f>$AD$82</f>
        <v>60</v>
      </c>
      <c r="P77">
        <f t="shared" si="25"/>
        <v>1.0575073475796353</v>
      </c>
      <c r="Q77">
        <f t="shared" si="20"/>
        <v>0.62468890114860043</v>
      </c>
      <c r="R77">
        <v>1</v>
      </c>
      <c r="S77">
        <f t="shared" si="21"/>
        <v>0.66061310291609343</v>
      </c>
      <c r="T77">
        <v>55</v>
      </c>
      <c r="U77">
        <f t="shared" si="22"/>
        <v>1.3999526334822557E-2</v>
      </c>
      <c r="V77">
        <f t="shared" si="23"/>
        <v>91.25</v>
      </c>
      <c r="W77">
        <f t="shared" si="24"/>
        <v>70.260122792890698</v>
      </c>
      <c r="AB77" t="s">
        <v>81</v>
      </c>
      <c r="AC77">
        <v>61</v>
      </c>
      <c r="AD77">
        <v>55</v>
      </c>
      <c r="AE77">
        <v>40</v>
      </c>
      <c r="AF77">
        <v>45</v>
      </c>
      <c r="AG77">
        <v>50</v>
      </c>
      <c r="AH77">
        <v>25</v>
      </c>
    </row>
    <row r="78" spans="1:34" x14ac:dyDescent="0.2">
      <c r="D78" t="s">
        <v>83</v>
      </c>
      <c r="E78">
        <v>0</v>
      </c>
      <c r="F78">
        <v>0</v>
      </c>
      <c r="G78">
        <v>0</v>
      </c>
      <c r="J78">
        <f>$AD$28</f>
        <v>0.9</v>
      </c>
      <c r="L78">
        <f>$AD$56</f>
        <v>0.75</v>
      </c>
      <c r="M78">
        <f t="shared" si="19"/>
        <v>0.5948500000000001</v>
      </c>
      <c r="O78">
        <f>$AD$83</f>
        <v>60</v>
      </c>
      <c r="P78">
        <f t="shared" si="25"/>
        <v>1.4163939481646182</v>
      </c>
      <c r="Q78">
        <f t="shared" si="20"/>
        <v>0.80210130091638532</v>
      </c>
      <c r="R78">
        <v>1</v>
      </c>
      <c r="S78">
        <f t="shared" si="21"/>
        <v>1.1360914284329355</v>
      </c>
      <c r="T78">
        <v>55</v>
      </c>
      <c r="U78">
        <f t="shared" si="22"/>
        <v>2.2938518854539191E-2</v>
      </c>
      <c r="V78">
        <f t="shared" si="23"/>
        <v>91.25</v>
      </c>
      <c r="W78">
        <f t="shared" si="24"/>
        <v>115.12269150121857</v>
      </c>
      <c r="AB78" t="s">
        <v>82</v>
      </c>
      <c r="AC78">
        <v>63</v>
      </c>
      <c r="AD78">
        <v>55</v>
      </c>
      <c r="AE78">
        <v>40</v>
      </c>
      <c r="AF78">
        <v>45</v>
      </c>
      <c r="AG78">
        <v>50</v>
      </c>
      <c r="AH78">
        <v>20</v>
      </c>
    </row>
    <row r="79" spans="1:34" x14ac:dyDescent="0.2">
      <c r="A79">
        <v>3</v>
      </c>
      <c r="C79" t="s">
        <v>74</v>
      </c>
      <c r="D79" t="s">
        <v>80</v>
      </c>
      <c r="E79">
        <v>92</v>
      </c>
      <c r="F79">
        <v>87</v>
      </c>
      <c r="G79">
        <f>(E79/100*MIN(F79,100)/100)</f>
        <v>0.80040000000000011</v>
      </c>
      <c r="H79">
        <f>$AC$3</f>
        <v>1.3</v>
      </c>
      <c r="J79">
        <f>$AE$25</f>
        <v>4</v>
      </c>
      <c r="L79">
        <f>$AE$53</f>
        <v>0.7</v>
      </c>
      <c r="M79">
        <f t="shared" si="19"/>
        <v>0.55510000000000004</v>
      </c>
      <c r="O79">
        <f>$AE$80</f>
        <v>52</v>
      </c>
      <c r="P79">
        <f>(104.7 * M79 + 0.307 * O79- 15) * POWER(O79, 0.75) * 10^-3</f>
        <v>1.1441022143482507</v>
      </c>
      <c r="Q79">
        <f t="shared" si="20"/>
        <v>0.99999999999998734</v>
      </c>
      <c r="R79">
        <f>(G79 * H79) + (1 - G79)</f>
        <v>1.2401200000000001</v>
      </c>
      <c r="S79">
        <f t="shared" si="21"/>
        <v>1.4188240380575348</v>
      </c>
      <c r="T79">
        <v>60</v>
      </c>
      <c r="U79">
        <f t="shared" si="22"/>
        <v>2.8253891915481655E-2</v>
      </c>
      <c r="V79">
        <f t="shared" si="23"/>
        <v>91.25</v>
      </c>
      <c r="W79">
        <f t="shared" si="24"/>
        <v>154.69005823726206</v>
      </c>
      <c r="AB79" t="s">
        <v>83</v>
      </c>
      <c r="AC79">
        <v>60</v>
      </c>
      <c r="AD79">
        <v>50</v>
      </c>
      <c r="AE79">
        <v>35</v>
      </c>
      <c r="AF79">
        <v>42</v>
      </c>
      <c r="AG79">
        <v>48</v>
      </c>
      <c r="AH79">
        <v>25</v>
      </c>
    </row>
    <row r="80" spans="1:34" x14ac:dyDescent="0.2">
      <c r="D80" t="s">
        <v>81</v>
      </c>
      <c r="E80">
        <v>0</v>
      </c>
      <c r="F80">
        <v>0</v>
      </c>
      <c r="G80">
        <f>(E80/100*MIN(F80,100)/100)</f>
        <v>0</v>
      </c>
      <c r="J80">
        <f>$AE$26</f>
        <v>2.5</v>
      </c>
      <c r="L80">
        <f>$AE$54</f>
        <v>0.55000000000000004</v>
      </c>
      <c r="M80">
        <f t="shared" si="19"/>
        <v>0.43585000000000007</v>
      </c>
      <c r="O80">
        <f>$AE$81</f>
        <v>52</v>
      </c>
      <c r="P80">
        <f t="shared" ref="P80:P94" si="26">(104.7 * M80 + 0.307 * O80- 15) * POWER(O80, 0.75) * 10^-3</f>
        <v>0.90232933809152693</v>
      </c>
      <c r="Q80">
        <f t="shared" si="20"/>
        <v>0.99999627334682795</v>
      </c>
      <c r="R80">
        <f t="shared" ref="R80:R86" si="27">(G80 * H80) + (1 - G80)</f>
        <v>1</v>
      </c>
      <c r="S80">
        <f t="shared" si="21"/>
        <v>0.90232597542303694</v>
      </c>
      <c r="T80">
        <v>70</v>
      </c>
      <c r="U80">
        <f t="shared" si="22"/>
        <v>1.8543728337953095E-2</v>
      </c>
      <c r="V80">
        <f t="shared" si="23"/>
        <v>91.25</v>
      </c>
      <c r="W80">
        <f t="shared" si="24"/>
        <v>118.4480647586754</v>
      </c>
      <c r="AB80" t="s">
        <v>80</v>
      </c>
      <c r="AC80">
        <v>80</v>
      </c>
      <c r="AD80">
        <v>70</v>
      </c>
      <c r="AE80">
        <v>52</v>
      </c>
      <c r="AF80">
        <v>55</v>
      </c>
      <c r="AG80">
        <v>55</v>
      </c>
      <c r="AH80">
        <v>40</v>
      </c>
    </row>
    <row r="81" spans="1:34" x14ac:dyDescent="0.2">
      <c r="D81" t="s">
        <v>82</v>
      </c>
      <c r="E81">
        <v>0</v>
      </c>
      <c r="F81">
        <v>0</v>
      </c>
      <c r="G81">
        <f t="shared" ref="G81:G83" si="28">(E81/100*MIN(F81,100)/100)</f>
        <v>0</v>
      </c>
      <c r="J81">
        <f>$AE$27</f>
        <v>0.7</v>
      </c>
      <c r="L81">
        <f>$AE$55</f>
        <v>0.55000000000000004</v>
      </c>
      <c r="M81">
        <f t="shared" si="19"/>
        <v>0.43585000000000007</v>
      </c>
      <c r="O81">
        <f>$AE$82</f>
        <v>52</v>
      </c>
      <c r="P81">
        <f t="shared" si="26"/>
        <v>0.90232933809152693</v>
      </c>
      <c r="Q81">
        <f t="shared" si="20"/>
        <v>0.62468890114860043</v>
      </c>
      <c r="R81">
        <f t="shared" si="27"/>
        <v>1</v>
      </c>
      <c r="S81">
        <f t="shared" si="21"/>
        <v>0.56367512268653996</v>
      </c>
      <c r="T81">
        <v>60</v>
      </c>
      <c r="U81">
        <f t="shared" si="22"/>
        <v>1.2177092306506952E-2</v>
      </c>
      <c r="V81">
        <f t="shared" si="23"/>
        <v>91.25</v>
      </c>
      <c r="W81">
        <f t="shared" si="24"/>
        <v>66.669580378125559</v>
      </c>
      <c r="AB81" t="s">
        <v>81</v>
      </c>
      <c r="AC81">
        <v>70</v>
      </c>
      <c r="AD81">
        <v>65</v>
      </c>
      <c r="AE81">
        <v>52</v>
      </c>
      <c r="AF81">
        <v>55</v>
      </c>
      <c r="AG81">
        <v>55</v>
      </c>
      <c r="AH81">
        <v>45</v>
      </c>
    </row>
    <row r="82" spans="1:34" x14ac:dyDescent="0.2">
      <c r="D82" t="s">
        <v>83</v>
      </c>
      <c r="E82">
        <v>0</v>
      </c>
      <c r="F82">
        <v>0</v>
      </c>
      <c r="G82">
        <f t="shared" si="28"/>
        <v>0</v>
      </c>
      <c r="J82">
        <f>$AE$28</f>
        <v>0.9</v>
      </c>
      <c r="L82">
        <f>$AE$56</f>
        <v>0.75</v>
      </c>
      <c r="M82">
        <f t="shared" si="19"/>
        <v>0.5948500000000001</v>
      </c>
      <c r="O82">
        <f>$AE$83</f>
        <v>52</v>
      </c>
      <c r="P82">
        <f t="shared" si="26"/>
        <v>1.224693173100492</v>
      </c>
      <c r="Q82">
        <f t="shared" si="20"/>
        <v>0.80210130091638532</v>
      </c>
      <c r="R82">
        <f t="shared" si="27"/>
        <v>1</v>
      </c>
      <c r="S82">
        <f t="shared" si="21"/>
        <v>0.98232798736732052</v>
      </c>
      <c r="T82">
        <v>50</v>
      </c>
      <c r="U82">
        <f t="shared" si="22"/>
        <v>2.0047766162505629E-2</v>
      </c>
      <c r="V82">
        <f t="shared" si="23"/>
        <v>91.25</v>
      </c>
      <c r="W82">
        <f t="shared" si="24"/>
        <v>91.467933116431922</v>
      </c>
      <c r="AB82" t="s">
        <v>82</v>
      </c>
      <c r="AC82">
        <v>70</v>
      </c>
      <c r="AD82">
        <v>60</v>
      </c>
      <c r="AE82">
        <v>52</v>
      </c>
      <c r="AF82">
        <v>55</v>
      </c>
      <c r="AG82">
        <v>55</v>
      </c>
      <c r="AH82">
        <v>20</v>
      </c>
    </row>
    <row r="83" spans="1:34" x14ac:dyDescent="0.2">
      <c r="A83">
        <v>4</v>
      </c>
      <c r="C83" t="s">
        <v>75</v>
      </c>
      <c r="D83" t="s">
        <v>80</v>
      </c>
      <c r="E83">
        <v>95</v>
      </c>
      <c r="F83">
        <v>88</v>
      </c>
      <c r="G83">
        <f t="shared" si="28"/>
        <v>0.83599999999999997</v>
      </c>
      <c r="H83">
        <f>$AC$3</f>
        <v>1.3</v>
      </c>
      <c r="J83">
        <f>$AF$25</f>
        <v>4</v>
      </c>
      <c r="L83">
        <f>$AF$53</f>
        <v>0.7</v>
      </c>
      <c r="M83">
        <f t="shared" si="19"/>
        <v>0.55510000000000004</v>
      </c>
      <c r="O83">
        <f>$AF$80</f>
        <v>55</v>
      </c>
      <c r="P83">
        <f t="shared" si="26"/>
        <v>1.2118587484135388</v>
      </c>
      <c r="Q83">
        <f t="shared" si="20"/>
        <v>0.99999999999998734</v>
      </c>
      <c r="R83">
        <f t="shared" si="27"/>
        <v>1.2507999999999999</v>
      </c>
      <c r="S83">
        <f t="shared" si="21"/>
        <v>1.515792922515635</v>
      </c>
      <c r="T83">
        <v>40</v>
      </c>
      <c r="U83">
        <f t="shared" si="22"/>
        <v>3.007690694329394E-2</v>
      </c>
      <c r="V83">
        <f t="shared" si="23"/>
        <v>91.25</v>
      </c>
      <c r="W83">
        <f t="shared" si="24"/>
        <v>109.78071034302289</v>
      </c>
      <c r="AB83" t="s">
        <v>83</v>
      </c>
      <c r="AC83">
        <v>70</v>
      </c>
      <c r="AD83">
        <v>60</v>
      </c>
      <c r="AE83">
        <v>52</v>
      </c>
      <c r="AF83">
        <v>55</v>
      </c>
      <c r="AG83">
        <v>55</v>
      </c>
      <c r="AH83">
        <v>30</v>
      </c>
    </row>
    <row r="84" spans="1:34" x14ac:dyDescent="0.2">
      <c r="D84" t="s">
        <v>81</v>
      </c>
      <c r="E84">
        <v>0</v>
      </c>
      <c r="F84">
        <v>0</v>
      </c>
      <c r="G84">
        <v>0</v>
      </c>
      <c r="J84">
        <f>$AF$26</f>
        <v>2.5</v>
      </c>
      <c r="L84">
        <f>$AF$54</f>
        <v>0.55000000000000004</v>
      </c>
      <c r="M84">
        <f t="shared" si="19"/>
        <v>0.43585000000000007</v>
      </c>
      <c r="O84">
        <f>$AF$81</f>
        <v>55</v>
      </c>
      <c r="P84">
        <f t="shared" si="26"/>
        <v>0.95969823125361531</v>
      </c>
      <c r="Q84">
        <f t="shared" si="20"/>
        <v>0.99999627334682795</v>
      </c>
      <c r="R84">
        <f t="shared" si="27"/>
        <v>1</v>
      </c>
      <c r="S84">
        <f t="shared" si="21"/>
        <v>0.95969465479115756</v>
      </c>
      <c r="T84">
        <v>45</v>
      </c>
      <c r="U84">
        <f t="shared" si="22"/>
        <v>1.9622259510073764E-2</v>
      </c>
      <c r="V84">
        <f t="shared" si="23"/>
        <v>91.25</v>
      </c>
      <c r="W84">
        <f t="shared" si="24"/>
        <v>80.573903113240391</v>
      </c>
      <c r="AB84" t="s">
        <v>80</v>
      </c>
      <c r="AC84">
        <v>90</v>
      </c>
      <c r="AD84">
        <v>55</v>
      </c>
      <c r="AE84">
        <v>45</v>
      </c>
      <c r="AF84">
        <v>50</v>
      </c>
      <c r="AG84">
        <v>50</v>
      </c>
      <c r="AH84">
        <v>14</v>
      </c>
    </row>
    <row r="85" spans="1:34" x14ac:dyDescent="0.2">
      <c r="D85" t="s">
        <v>82</v>
      </c>
      <c r="E85">
        <v>0</v>
      </c>
      <c r="F85">
        <v>0</v>
      </c>
      <c r="G85">
        <v>0</v>
      </c>
      <c r="J85">
        <f>$AF$27</f>
        <v>0.7</v>
      </c>
      <c r="L85">
        <f>$AF$55</f>
        <v>0.55000000000000004</v>
      </c>
      <c r="M85">
        <f t="shared" si="19"/>
        <v>0.43585000000000007</v>
      </c>
      <c r="O85">
        <f>$AF$82</f>
        <v>55</v>
      </c>
      <c r="P85">
        <f t="shared" si="26"/>
        <v>0.95969823125361531</v>
      </c>
      <c r="Q85">
        <f t="shared" si="20"/>
        <v>0.62468890114860043</v>
      </c>
      <c r="R85">
        <f t="shared" si="27"/>
        <v>1</v>
      </c>
      <c r="S85">
        <f t="shared" si="21"/>
        <v>0.59951283351607632</v>
      </c>
      <c r="T85">
        <v>40</v>
      </c>
      <c r="U85">
        <f t="shared" si="22"/>
        <v>1.2850841270102236E-2</v>
      </c>
      <c r="V85">
        <f t="shared" si="23"/>
        <v>91.25</v>
      </c>
      <c r="W85">
        <f t="shared" si="24"/>
        <v>46.905570635873161</v>
      </c>
      <c r="AB85" t="s">
        <v>81</v>
      </c>
      <c r="AC85">
        <v>90</v>
      </c>
      <c r="AD85">
        <v>55</v>
      </c>
      <c r="AE85">
        <v>45</v>
      </c>
      <c r="AF85">
        <v>50</v>
      </c>
      <c r="AG85">
        <v>50</v>
      </c>
      <c r="AH85">
        <v>24</v>
      </c>
    </row>
    <row r="86" spans="1:34" x14ac:dyDescent="0.2">
      <c r="D86" t="s">
        <v>83</v>
      </c>
      <c r="E86">
        <v>0</v>
      </c>
      <c r="F86">
        <v>0</v>
      </c>
      <c r="G86">
        <v>0</v>
      </c>
      <c r="J86">
        <f>$AF$28</f>
        <v>0.9</v>
      </c>
      <c r="L86">
        <f>$AF$56</f>
        <v>0.75</v>
      </c>
      <c r="M86">
        <f t="shared" si="19"/>
        <v>0.5948500000000001</v>
      </c>
      <c r="O86">
        <f>$AF$83</f>
        <v>55</v>
      </c>
      <c r="P86">
        <f t="shared" si="26"/>
        <v>1.2959122541335131</v>
      </c>
      <c r="Q86">
        <f t="shared" si="20"/>
        <v>0.80210130091638532</v>
      </c>
      <c r="R86">
        <f t="shared" si="27"/>
        <v>1</v>
      </c>
      <c r="S86">
        <f t="shared" si="21"/>
        <v>1.0394529049139762</v>
      </c>
      <c r="T86">
        <v>35</v>
      </c>
      <c r="U86">
        <f t="shared" si="22"/>
        <v>2.1121714612382755E-2</v>
      </c>
      <c r="V86">
        <f t="shared" si="23"/>
        <v>91.25</v>
      </c>
      <c r="W86">
        <f t="shared" si="24"/>
        <v>67.457476043297433</v>
      </c>
      <c r="AB86" t="s">
        <v>82</v>
      </c>
      <c r="AC86">
        <v>75</v>
      </c>
      <c r="AD86">
        <v>50</v>
      </c>
      <c r="AE86">
        <v>45</v>
      </c>
      <c r="AF86">
        <v>50</v>
      </c>
      <c r="AG86">
        <v>50</v>
      </c>
      <c r="AH86">
        <v>36</v>
      </c>
    </row>
    <row r="87" spans="1:34" x14ac:dyDescent="0.2">
      <c r="A87">
        <v>5</v>
      </c>
      <c r="C87" t="s">
        <v>76</v>
      </c>
      <c r="D87" t="s">
        <v>80</v>
      </c>
      <c r="E87">
        <v>0</v>
      </c>
      <c r="F87">
        <v>0</v>
      </c>
      <c r="G87">
        <v>0</v>
      </c>
      <c r="J87">
        <f>$AG$25</f>
        <v>4</v>
      </c>
      <c r="L87">
        <f>$AG$53</f>
        <v>0.7</v>
      </c>
      <c r="M87">
        <f t="shared" si="19"/>
        <v>0.55510000000000004</v>
      </c>
      <c r="O87">
        <f>$AG$80</f>
        <v>55</v>
      </c>
      <c r="P87">
        <f t="shared" si="26"/>
        <v>1.2118587484135388</v>
      </c>
      <c r="Q87">
        <f t="shared" si="20"/>
        <v>0.99999999999998734</v>
      </c>
      <c r="R87">
        <v>1</v>
      </c>
      <c r="S87">
        <f t="shared" si="21"/>
        <v>1.2118587484135235</v>
      </c>
      <c r="T87">
        <v>25</v>
      </c>
      <c r="U87">
        <f t="shared" si="22"/>
        <v>2.4362944470174244E-2</v>
      </c>
      <c r="V87">
        <f t="shared" si="23"/>
        <v>91.25</v>
      </c>
      <c r="W87">
        <f t="shared" si="24"/>
        <v>55.577967072584997</v>
      </c>
      <c r="AB87" t="s">
        <v>83</v>
      </c>
      <c r="AC87">
        <v>75</v>
      </c>
      <c r="AD87">
        <v>45</v>
      </c>
      <c r="AE87">
        <v>50</v>
      </c>
      <c r="AF87">
        <v>55</v>
      </c>
      <c r="AG87">
        <v>50</v>
      </c>
      <c r="AH87">
        <v>42</v>
      </c>
    </row>
    <row r="88" spans="1:34" x14ac:dyDescent="0.2">
      <c r="D88" t="s">
        <v>81</v>
      </c>
      <c r="E88">
        <v>0</v>
      </c>
      <c r="F88">
        <v>0</v>
      </c>
      <c r="G88">
        <v>0</v>
      </c>
      <c r="J88">
        <f>$AG$26</f>
        <v>2.5</v>
      </c>
      <c r="L88">
        <f>$AG$54</f>
        <v>0.55000000000000004</v>
      </c>
      <c r="M88">
        <f t="shared" si="19"/>
        <v>0.43585000000000007</v>
      </c>
      <c r="O88">
        <f>$AG$81</f>
        <v>55</v>
      </c>
      <c r="P88">
        <f t="shared" si="26"/>
        <v>0.95969823125361531</v>
      </c>
      <c r="Q88">
        <f t="shared" si="20"/>
        <v>0.99999627334682795</v>
      </c>
      <c r="R88">
        <v>1</v>
      </c>
      <c r="S88">
        <f t="shared" si="21"/>
        <v>0.95969465479115756</v>
      </c>
      <c r="T88">
        <v>30</v>
      </c>
      <c r="U88">
        <f t="shared" si="22"/>
        <v>1.9622259510073764E-2</v>
      </c>
      <c r="V88">
        <f t="shared" si="23"/>
        <v>91.25</v>
      </c>
      <c r="W88">
        <f t="shared" si="24"/>
        <v>53.715935408826923</v>
      </c>
      <c r="AB88" t="s">
        <v>80</v>
      </c>
      <c r="AC88">
        <v>70</v>
      </c>
      <c r="AD88">
        <v>60</v>
      </c>
      <c r="AE88">
        <v>50</v>
      </c>
      <c r="AF88">
        <v>55</v>
      </c>
      <c r="AG88">
        <v>50</v>
      </c>
      <c r="AH88">
        <v>22</v>
      </c>
    </row>
    <row r="89" spans="1:34" x14ac:dyDescent="0.2">
      <c r="D89" t="s">
        <v>82</v>
      </c>
      <c r="E89">
        <v>0</v>
      </c>
      <c r="F89">
        <v>0</v>
      </c>
      <c r="G89">
        <v>0</v>
      </c>
      <c r="J89">
        <f>$AG$27</f>
        <v>0.7</v>
      </c>
      <c r="L89">
        <f>$AG$55</f>
        <v>0.55000000000000004</v>
      </c>
      <c r="M89">
        <f t="shared" si="19"/>
        <v>0.43585000000000007</v>
      </c>
      <c r="O89">
        <f>$AG$82</f>
        <v>55</v>
      </c>
      <c r="P89">
        <f t="shared" si="26"/>
        <v>0.95969823125361531</v>
      </c>
      <c r="Q89">
        <f t="shared" si="20"/>
        <v>0.62468890114860043</v>
      </c>
      <c r="R89">
        <v>1</v>
      </c>
      <c r="S89">
        <f t="shared" si="21"/>
        <v>0.59951283351607632</v>
      </c>
      <c r="T89">
        <v>25</v>
      </c>
      <c r="U89">
        <f t="shared" si="22"/>
        <v>1.2850841270102236E-2</v>
      </c>
      <c r="V89">
        <f t="shared" si="23"/>
        <v>91.25</v>
      </c>
      <c r="W89">
        <f t="shared" si="24"/>
        <v>29.315981647420724</v>
      </c>
      <c r="AB89" t="s">
        <v>81</v>
      </c>
      <c r="AC89">
        <v>65</v>
      </c>
      <c r="AD89">
        <v>55</v>
      </c>
      <c r="AE89">
        <v>45</v>
      </c>
      <c r="AF89">
        <v>50</v>
      </c>
      <c r="AG89">
        <v>50</v>
      </c>
      <c r="AH89">
        <v>28</v>
      </c>
    </row>
    <row r="90" spans="1:34" x14ac:dyDescent="0.2">
      <c r="D90" t="s">
        <v>83</v>
      </c>
      <c r="E90">
        <v>0</v>
      </c>
      <c r="F90">
        <v>0</v>
      </c>
      <c r="G90">
        <v>0</v>
      </c>
      <c r="J90">
        <f>$AG$28</f>
        <v>0.9</v>
      </c>
      <c r="L90">
        <f>$AG$56</f>
        <v>0.75</v>
      </c>
      <c r="M90">
        <f t="shared" si="19"/>
        <v>0.5948500000000001</v>
      </c>
      <c r="O90">
        <f>$AG$83</f>
        <v>55</v>
      </c>
      <c r="P90">
        <f t="shared" si="26"/>
        <v>1.2959122541335131</v>
      </c>
      <c r="Q90">
        <f t="shared" si="20"/>
        <v>0.80210130091638532</v>
      </c>
      <c r="R90">
        <v>1</v>
      </c>
      <c r="S90">
        <f t="shared" si="21"/>
        <v>1.0394529049139762</v>
      </c>
      <c r="T90">
        <v>20</v>
      </c>
      <c r="U90">
        <f t="shared" si="22"/>
        <v>2.1121714612382755E-2</v>
      </c>
      <c r="V90">
        <f t="shared" si="23"/>
        <v>91.25</v>
      </c>
      <c r="W90">
        <f t="shared" si="24"/>
        <v>38.547129167598527</v>
      </c>
      <c r="AB90" t="s">
        <v>82</v>
      </c>
      <c r="AC90">
        <v>65</v>
      </c>
      <c r="AD90">
        <v>52</v>
      </c>
      <c r="AE90">
        <v>43</v>
      </c>
      <c r="AF90">
        <v>48</v>
      </c>
      <c r="AG90">
        <v>50</v>
      </c>
      <c r="AH90">
        <v>33</v>
      </c>
    </row>
    <row r="91" spans="1:34" x14ac:dyDescent="0.2">
      <c r="A91">
        <v>6</v>
      </c>
      <c r="C91" t="s">
        <v>77</v>
      </c>
      <c r="D91" t="s">
        <v>80</v>
      </c>
      <c r="E91">
        <v>0</v>
      </c>
      <c r="F91">
        <v>0</v>
      </c>
      <c r="G91">
        <v>0</v>
      </c>
      <c r="J91">
        <f>$AH$25</f>
        <v>4</v>
      </c>
      <c r="L91">
        <f>$AH$53</f>
        <v>0.7</v>
      </c>
      <c r="M91">
        <f t="shared" si="19"/>
        <v>0.55510000000000004</v>
      </c>
      <c r="O91">
        <f>$AH$80</f>
        <v>40</v>
      </c>
      <c r="P91">
        <f t="shared" si="26"/>
        <v>0.88114358489687972</v>
      </c>
      <c r="Q91">
        <f t="shared" si="20"/>
        <v>0.99999999999998734</v>
      </c>
      <c r="R91">
        <v>1</v>
      </c>
      <c r="S91">
        <f t="shared" si="21"/>
        <v>0.88114358489686861</v>
      </c>
      <c r="T91">
        <v>15</v>
      </c>
      <c r="U91">
        <f t="shared" si="22"/>
        <v>1.8145499396061131E-2</v>
      </c>
      <c r="V91">
        <f t="shared" si="23"/>
        <v>91.25</v>
      </c>
      <c r="W91">
        <f t="shared" si="24"/>
        <v>24.836652298358672</v>
      </c>
      <c r="AB91" t="s">
        <v>83</v>
      </c>
      <c r="AC91">
        <v>60</v>
      </c>
      <c r="AD91">
        <v>50</v>
      </c>
      <c r="AE91">
        <v>40</v>
      </c>
      <c r="AF91">
        <v>45</v>
      </c>
      <c r="AG91">
        <v>50</v>
      </c>
      <c r="AH91">
        <v>35</v>
      </c>
    </row>
    <row r="92" spans="1:34" x14ac:dyDescent="0.2">
      <c r="D92" t="s">
        <v>81</v>
      </c>
      <c r="E92">
        <v>0</v>
      </c>
      <c r="F92">
        <v>0</v>
      </c>
      <c r="G92">
        <v>0</v>
      </c>
      <c r="J92">
        <f>$AH$26</f>
        <v>2.5</v>
      </c>
      <c r="L92">
        <f>$AH$54</f>
        <v>0.55000000000000004</v>
      </c>
      <c r="M92">
        <f t="shared" si="19"/>
        <v>0.43585000000000007</v>
      </c>
      <c r="O92">
        <f>$AH$81</f>
        <v>45</v>
      </c>
      <c r="P92">
        <f t="shared" si="26"/>
        <v>0.77226516609487061</v>
      </c>
      <c r="Q92">
        <f t="shared" si="20"/>
        <v>0.99999627334682795</v>
      </c>
      <c r="R92">
        <v>1</v>
      </c>
      <c r="S92">
        <f t="shared" si="21"/>
        <v>0.77226228813043973</v>
      </c>
      <c r="T92">
        <v>45</v>
      </c>
      <c r="U92">
        <f t="shared" si="22"/>
        <v>1.6098531016852269E-2</v>
      </c>
      <c r="V92">
        <f t="shared" si="23"/>
        <v>91.25</v>
      </c>
      <c r="W92">
        <f t="shared" si="24"/>
        <v>66.10459298794963</v>
      </c>
      <c r="AB92" t="s">
        <v>80</v>
      </c>
      <c r="AC92">
        <v>75</v>
      </c>
      <c r="AD92">
        <v>60</v>
      </c>
      <c r="AE92">
        <v>50</v>
      </c>
      <c r="AF92">
        <v>55</v>
      </c>
      <c r="AG92">
        <v>55</v>
      </c>
      <c r="AH92">
        <v>30</v>
      </c>
    </row>
    <row r="93" spans="1:34" x14ac:dyDescent="0.2">
      <c r="D93" t="s">
        <v>82</v>
      </c>
      <c r="E93">
        <v>0</v>
      </c>
      <c r="F93">
        <v>0</v>
      </c>
      <c r="G93">
        <v>0</v>
      </c>
      <c r="J93">
        <f>$AH$27</f>
        <v>0.7</v>
      </c>
      <c r="L93">
        <f>$AH$55</f>
        <v>0.55000000000000004</v>
      </c>
      <c r="M93">
        <f t="shared" si="19"/>
        <v>0.43585000000000007</v>
      </c>
      <c r="O93">
        <f>$AH$82</f>
        <v>20</v>
      </c>
      <c r="P93">
        <f t="shared" si="26"/>
        <v>0.34778224329970253</v>
      </c>
      <c r="Q93">
        <f t="shared" si="20"/>
        <v>0.62468890114860043</v>
      </c>
      <c r="R93">
        <v>1</v>
      </c>
      <c r="S93">
        <f t="shared" si="21"/>
        <v>0.21725570740588637</v>
      </c>
      <c r="T93">
        <v>40</v>
      </c>
      <c r="U93">
        <f t="shared" si="22"/>
        <v>5.6644072992306635E-3</v>
      </c>
      <c r="V93">
        <f t="shared" si="23"/>
        <v>91.25</v>
      </c>
      <c r="W93">
        <f t="shared" si="24"/>
        <v>20.675086642191921</v>
      </c>
      <c r="AB93" t="s">
        <v>81</v>
      </c>
      <c r="AC93">
        <v>65</v>
      </c>
      <c r="AD93">
        <v>55</v>
      </c>
      <c r="AE93">
        <v>45</v>
      </c>
      <c r="AF93">
        <v>50</v>
      </c>
      <c r="AG93">
        <v>50</v>
      </c>
      <c r="AH93">
        <v>30</v>
      </c>
    </row>
    <row r="94" spans="1:34" x14ac:dyDescent="0.2">
      <c r="D94" t="s">
        <v>83</v>
      </c>
      <c r="E94">
        <v>0</v>
      </c>
      <c r="F94">
        <v>0</v>
      </c>
      <c r="G94">
        <v>0</v>
      </c>
      <c r="J94">
        <f>$AH$28</f>
        <v>0.9</v>
      </c>
      <c r="L94">
        <f>$AH$56</f>
        <v>0.75</v>
      </c>
      <c r="M94">
        <f t="shared" si="19"/>
        <v>0.5948500000000001</v>
      </c>
      <c r="O94">
        <f>$AH$83</f>
        <v>30</v>
      </c>
      <c r="P94">
        <f t="shared" si="26"/>
        <v>0.72413348053480053</v>
      </c>
      <c r="Q94">
        <f t="shared" si="20"/>
        <v>0.80210130091638532</v>
      </c>
      <c r="R94">
        <v>1</v>
      </c>
      <c r="S94">
        <f t="shared" si="21"/>
        <v>0.58082840677407355</v>
      </c>
      <c r="T94">
        <v>30</v>
      </c>
      <c r="U94">
        <f t="shared" si="22"/>
        <v>1.2499574047352583E-2</v>
      </c>
      <c r="V94">
        <f t="shared" si="23"/>
        <v>91.25</v>
      </c>
      <c r="W94">
        <f t="shared" si="24"/>
        <v>34.217583954627699</v>
      </c>
      <c r="AB94" t="s">
        <v>82</v>
      </c>
      <c r="AC94">
        <v>65</v>
      </c>
      <c r="AD94">
        <v>48</v>
      </c>
      <c r="AE94">
        <v>40</v>
      </c>
      <c r="AF94">
        <v>45</v>
      </c>
      <c r="AG94">
        <v>45</v>
      </c>
      <c r="AH94">
        <v>10</v>
      </c>
    </row>
    <row r="95" spans="1:34" x14ac:dyDescent="0.2">
      <c r="AB95" t="s">
        <v>83</v>
      </c>
      <c r="AC95">
        <v>65</v>
      </c>
      <c r="AD95">
        <v>48</v>
      </c>
      <c r="AE95">
        <v>45</v>
      </c>
      <c r="AF95">
        <v>50</v>
      </c>
      <c r="AG95">
        <v>50</v>
      </c>
      <c r="AH95">
        <v>20</v>
      </c>
    </row>
    <row r="101" spans="1:24" x14ac:dyDescent="0.2">
      <c r="A101" t="s">
        <v>103</v>
      </c>
      <c r="B101" t="s">
        <v>102</v>
      </c>
      <c r="C101" t="s">
        <v>72</v>
      </c>
      <c r="D101" t="s">
        <v>80</v>
      </c>
      <c r="E101">
        <v>0</v>
      </c>
      <c r="F101">
        <v>0</v>
      </c>
      <c r="G101">
        <v>0</v>
      </c>
      <c r="J101">
        <f>$AC$29</f>
        <v>2.5</v>
      </c>
      <c r="L101">
        <f>$AC$57</f>
        <v>0.75</v>
      </c>
      <c r="M101">
        <f>(0.795 * L101) - 0.0014</f>
        <v>0.5948500000000001</v>
      </c>
      <c r="O101">
        <f>$AC$84</f>
        <v>90</v>
      </c>
      <c r="P101">
        <f>(104.7 * M101 + 0.307 * O101- 15) * POWER(O101, 0.75) * 10^-3</f>
        <v>2.188901849330922</v>
      </c>
      <c r="Q101">
        <f>1-EXP(-2*POWER(J101,2))</f>
        <v>0.99999627334682795</v>
      </c>
      <c r="R101">
        <v>1</v>
      </c>
      <c r="S101">
        <f>P101 * Q101 * R101</f>
        <v>2.1888936920529019</v>
      </c>
      <c r="T101">
        <v>25</v>
      </c>
      <c r="U101">
        <f>(S101 * 0.0188) + 0.00158</f>
        <v>4.2731201410594555E-2</v>
      </c>
      <c r="V101">
        <f>$AC$4</f>
        <v>91.25</v>
      </c>
      <c r="W101">
        <f>T101*U101*V101</f>
        <v>97.480553217918825</v>
      </c>
      <c r="X101">
        <f>SUM(W101:W124)*10^-3</f>
        <v>1.736568628551417</v>
      </c>
    </row>
    <row r="102" spans="1:24" x14ac:dyDescent="0.2">
      <c r="D102" t="s">
        <v>81</v>
      </c>
      <c r="E102">
        <v>0</v>
      </c>
      <c r="F102">
        <v>0</v>
      </c>
      <c r="G102">
        <v>0</v>
      </c>
      <c r="J102">
        <f>$AC$30</f>
        <v>2.5</v>
      </c>
      <c r="L102">
        <f>$AC$58</f>
        <v>0.55000000000000004</v>
      </c>
      <c r="M102">
        <f t="shared" ref="M102:M124" si="29">(0.795 * L102) - 0.0014</f>
        <v>0.43585000000000007</v>
      </c>
      <c r="O102">
        <f>$AC$85</f>
        <v>90</v>
      </c>
      <c r="P102">
        <f>(104.7 * M102 + 0.307 * O102- 15) * POWER(O102, 0.75) * 10^-3</f>
        <v>1.7024658722949466</v>
      </c>
      <c r="Q102">
        <f t="shared" ref="Q102:Q124" si="30">1-EXP(-2*POWER(J102,2))</f>
        <v>0.99999627334682795</v>
      </c>
      <c r="R102">
        <v>1</v>
      </c>
      <c r="S102">
        <f t="shared" ref="S102:S124" si="31">P102 * Q102 * R102</f>
        <v>1.7024595277951033</v>
      </c>
      <c r="T102">
        <v>20</v>
      </c>
      <c r="U102">
        <f t="shared" ref="U102:U124" si="32">(S102 * 0.0188) + 0.00158</f>
        <v>3.3586239122547941E-2</v>
      </c>
      <c r="V102">
        <f t="shared" ref="V102:V124" si="33">$AC$4</f>
        <v>91.25</v>
      </c>
      <c r="W102">
        <f t="shared" ref="W102:W124" si="34">T102*U102*V102</f>
        <v>61.294886398649993</v>
      </c>
    </row>
    <row r="103" spans="1:24" x14ac:dyDescent="0.2">
      <c r="D103" t="s">
        <v>82</v>
      </c>
      <c r="E103">
        <v>0</v>
      </c>
      <c r="F103">
        <v>0</v>
      </c>
      <c r="G103">
        <v>0</v>
      </c>
      <c r="J103">
        <f>$AC$31</f>
        <v>1.3</v>
      </c>
      <c r="L103">
        <f>$AC$59</f>
        <v>0.67</v>
      </c>
      <c r="M103">
        <f t="shared" si="29"/>
        <v>0.53125000000000011</v>
      </c>
      <c r="O103">
        <f>$AC$86</f>
        <v>75</v>
      </c>
      <c r="P103">
        <f t="shared" ref="P103:P108" si="35">(104.7 * M103 + 0.307 * O103- 15) * POWER(O103, 0.75) * 10^-3</f>
        <v>1.6220828500688129</v>
      </c>
      <c r="Q103">
        <f t="shared" si="30"/>
        <v>0.96595254526540064</v>
      </c>
      <c r="R103">
        <v>1</v>
      </c>
      <c r="S103">
        <f t="shared" si="31"/>
        <v>1.5668550576553251</v>
      </c>
      <c r="T103">
        <v>19</v>
      </c>
      <c r="U103">
        <f t="shared" si="32"/>
        <v>3.1036875083920112E-2</v>
      </c>
      <c r="V103">
        <f t="shared" si="33"/>
        <v>91.25</v>
      </c>
      <c r="W103">
        <f t="shared" si="34"/>
        <v>53.810182176746501</v>
      </c>
    </row>
    <row r="104" spans="1:24" x14ac:dyDescent="0.2">
      <c r="D104" t="s">
        <v>83</v>
      </c>
      <c r="E104">
        <v>0</v>
      </c>
      <c r="F104">
        <v>0</v>
      </c>
      <c r="G104">
        <v>0</v>
      </c>
      <c r="J104">
        <f>$AC$32</f>
        <v>0.8</v>
      </c>
      <c r="L104">
        <f>$AC$60</f>
        <v>0.7</v>
      </c>
      <c r="M104">
        <f t="shared" si="29"/>
        <v>0.55510000000000004</v>
      </c>
      <c r="O104">
        <f>$AC$87</f>
        <v>75</v>
      </c>
      <c r="P104">
        <f t="shared" si="35"/>
        <v>1.6857229733976102</v>
      </c>
      <c r="Q104">
        <f t="shared" si="30"/>
        <v>0.72196269954680592</v>
      </c>
      <c r="R104">
        <v>1</v>
      </c>
      <c r="S104">
        <f t="shared" si="31"/>
        <v>1.2170291085622071</v>
      </c>
      <c r="T104">
        <v>25</v>
      </c>
      <c r="U104">
        <f t="shared" si="32"/>
        <v>2.4460147240969496E-2</v>
      </c>
      <c r="V104">
        <f t="shared" si="33"/>
        <v>91.25</v>
      </c>
      <c r="W104">
        <f t="shared" si="34"/>
        <v>55.799710893461658</v>
      </c>
    </row>
    <row r="105" spans="1:24" x14ac:dyDescent="0.2">
      <c r="A105">
        <v>2</v>
      </c>
      <c r="C105" t="s">
        <v>73</v>
      </c>
      <c r="D105" t="s">
        <v>80</v>
      </c>
      <c r="E105">
        <v>0</v>
      </c>
      <c r="F105">
        <v>0</v>
      </c>
      <c r="G105">
        <v>0</v>
      </c>
      <c r="J105">
        <f>$AD$29</f>
        <v>2.5</v>
      </c>
      <c r="L105">
        <f>$AD$57</f>
        <v>0.75</v>
      </c>
      <c r="M105">
        <f t="shared" si="29"/>
        <v>0.5948500000000001</v>
      </c>
      <c r="O105">
        <f>$AD$84</f>
        <v>55</v>
      </c>
      <c r="P105">
        <f t="shared" si="35"/>
        <v>1.2959122541335131</v>
      </c>
      <c r="Q105">
        <f t="shared" si="30"/>
        <v>0.99999627334682795</v>
      </c>
      <c r="R105">
        <v>1</v>
      </c>
      <c r="S105">
        <f t="shared" si="31"/>
        <v>1.2959074247180005</v>
      </c>
      <c r="T105">
        <v>50</v>
      </c>
      <c r="U105">
        <f t="shared" si="32"/>
        <v>2.5943059584698412E-2</v>
      </c>
      <c r="V105">
        <f t="shared" si="33"/>
        <v>91.25</v>
      </c>
      <c r="W105">
        <f t="shared" si="34"/>
        <v>118.36520935518651</v>
      </c>
    </row>
    <row r="106" spans="1:24" x14ac:dyDescent="0.2">
      <c r="D106" t="s">
        <v>81</v>
      </c>
      <c r="E106">
        <v>0</v>
      </c>
      <c r="F106">
        <v>0</v>
      </c>
      <c r="G106">
        <v>0</v>
      </c>
      <c r="J106">
        <f>$AD$30</f>
        <v>2.5</v>
      </c>
      <c r="L106">
        <f>$AD$58</f>
        <v>0.55000000000000004</v>
      </c>
      <c r="M106">
        <f t="shared" si="29"/>
        <v>0.43585000000000007</v>
      </c>
      <c r="O106">
        <f>$AD$85</f>
        <v>55</v>
      </c>
      <c r="P106">
        <f t="shared" si="35"/>
        <v>0.95969823125361531</v>
      </c>
      <c r="Q106">
        <f t="shared" si="30"/>
        <v>0.99999627334682795</v>
      </c>
      <c r="R106">
        <v>1</v>
      </c>
      <c r="S106">
        <f t="shared" si="31"/>
        <v>0.95969465479115756</v>
      </c>
      <c r="T106">
        <v>60</v>
      </c>
      <c r="U106">
        <f t="shared" si="32"/>
        <v>1.9622259510073764E-2</v>
      </c>
      <c r="V106">
        <f t="shared" si="33"/>
        <v>91.25</v>
      </c>
      <c r="W106">
        <f t="shared" si="34"/>
        <v>107.43187081765385</v>
      </c>
    </row>
    <row r="107" spans="1:24" x14ac:dyDescent="0.2">
      <c r="D107" t="s">
        <v>82</v>
      </c>
      <c r="E107">
        <v>0</v>
      </c>
      <c r="F107">
        <v>0</v>
      </c>
      <c r="G107">
        <v>0</v>
      </c>
      <c r="J107">
        <f>$AD$31</f>
        <v>1.3</v>
      </c>
      <c r="L107">
        <f>$AD$59</f>
        <v>0.67</v>
      </c>
      <c r="M107">
        <f t="shared" si="29"/>
        <v>0.53125000000000011</v>
      </c>
      <c r="O107">
        <f>$AD$86</f>
        <v>50</v>
      </c>
      <c r="P107">
        <f t="shared" si="35"/>
        <v>1.052440031254225</v>
      </c>
      <c r="Q107">
        <f t="shared" si="30"/>
        <v>0.96595254526540064</v>
      </c>
      <c r="R107">
        <v>1</v>
      </c>
      <c r="S107">
        <f t="shared" si="31"/>
        <v>1.0166071269292165</v>
      </c>
      <c r="T107">
        <v>55</v>
      </c>
      <c r="U107">
        <f t="shared" si="32"/>
        <v>2.0692213986269272E-2</v>
      </c>
      <c r="V107">
        <f t="shared" si="33"/>
        <v>91.25</v>
      </c>
      <c r="W107">
        <f t="shared" si="34"/>
        <v>103.8490489435889</v>
      </c>
    </row>
    <row r="108" spans="1:24" x14ac:dyDescent="0.2">
      <c r="D108" t="s">
        <v>83</v>
      </c>
      <c r="E108">
        <v>0</v>
      </c>
      <c r="F108">
        <v>0</v>
      </c>
      <c r="G108">
        <v>0</v>
      </c>
      <c r="J108">
        <f>$AD$32</f>
        <v>0.8</v>
      </c>
      <c r="L108">
        <f>$AD$60</f>
        <v>0.7</v>
      </c>
      <c r="M108">
        <f t="shared" si="29"/>
        <v>0.55510000000000004</v>
      </c>
      <c r="O108">
        <f>$AD$87</f>
        <v>45</v>
      </c>
      <c r="P108">
        <f t="shared" si="35"/>
        <v>0.98919258792655118</v>
      </c>
      <c r="Q108">
        <f t="shared" si="30"/>
        <v>0.72196269954680592</v>
      </c>
      <c r="R108">
        <v>1</v>
      </c>
      <c r="S108">
        <f t="shared" si="31"/>
        <v>0.71416015115114406</v>
      </c>
      <c r="T108">
        <v>55</v>
      </c>
      <c r="U108">
        <f t="shared" si="32"/>
        <v>1.5006210841641509E-2</v>
      </c>
      <c r="V108">
        <f t="shared" si="33"/>
        <v>91.25</v>
      </c>
      <c r="W108">
        <f t="shared" si="34"/>
        <v>75.312420661488332</v>
      </c>
    </row>
    <row r="109" spans="1:24" x14ac:dyDescent="0.2">
      <c r="A109">
        <v>3</v>
      </c>
      <c r="C109" t="s">
        <v>74</v>
      </c>
      <c r="D109" t="s">
        <v>80</v>
      </c>
      <c r="E109">
        <v>92</v>
      </c>
      <c r="F109">
        <v>87</v>
      </c>
      <c r="G109">
        <f>(E109/100*MIN(F109,100)/100)</f>
        <v>0.80040000000000011</v>
      </c>
      <c r="H109">
        <f>$AC$3</f>
        <v>1.3</v>
      </c>
      <c r="J109">
        <f>$AE$29</f>
        <v>2.5</v>
      </c>
      <c r="L109">
        <f>$AE$57</f>
        <v>0.75</v>
      </c>
      <c r="M109">
        <f t="shared" si="29"/>
        <v>0.5948500000000001</v>
      </c>
      <c r="O109">
        <f>$AE$84</f>
        <v>45</v>
      </c>
      <c r="P109">
        <f>(104.7 * M109 + 0.307 * O109- 15) * POWER(O109, 0.75) * 10^-3</f>
        <v>1.0615017285371116</v>
      </c>
      <c r="Q109">
        <f t="shared" si="30"/>
        <v>0.99999627334682795</v>
      </c>
      <c r="R109">
        <f>(G109 * H109) + (1 - G109)</f>
        <v>1.2401200000000001</v>
      </c>
      <c r="S109">
        <f t="shared" si="31"/>
        <v>1.3163846178662491</v>
      </c>
      <c r="T109">
        <v>60</v>
      </c>
      <c r="U109">
        <f t="shared" si="32"/>
        <v>2.6328030815885483E-2</v>
      </c>
      <c r="V109">
        <f t="shared" si="33"/>
        <v>91.25</v>
      </c>
      <c r="W109">
        <f t="shared" si="34"/>
        <v>144.14596871697302</v>
      </c>
    </row>
    <row r="110" spans="1:24" x14ac:dyDescent="0.2">
      <c r="D110" t="s">
        <v>81</v>
      </c>
      <c r="E110">
        <v>0</v>
      </c>
      <c r="F110">
        <v>0</v>
      </c>
      <c r="G110">
        <f>(E110/100*MIN(F110,100)/100)</f>
        <v>0</v>
      </c>
      <c r="J110">
        <f>$AE$30</f>
        <v>2.5</v>
      </c>
      <c r="L110">
        <f>$AE$58</f>
        <v>0.55000000000000004</v>
      </c>
      <c r="M110">
        <f t="shared" si="29"/>
        <v>0.43585000000000007</v>
      </c>
      <c r="O110">
        <f>$AE$85</f>
        <v>45</v>
      </c>
      <c r="P110">
        <f t="shared" ref="P110:P124" si="36">(104.7 * M110 + 0.307 * O110- 15) * POWER(O110, 0.75) * 10^-3</f>
        <v>0.77226516609487061</v>
      </c>
      <c r="Q110">
        <f t="shared" si="30"/>
        <v>0.99999627334682795</v>
      </c>
      <c r="R110">
        <f t="shared" ref="R110:R116" si="37">(G110 * H110) + (1 - G110)</f>
        <v>1</v>
      </c>
      <c r="S110">
        <f t="shared" si="31"/>
        <v>0.77226228813043973</v>
      </c>
      <c r="T110">
        <v>70</v>
      </c>
      <c r="U110">
        <f t="shared" si="32"/>
        <v>1.6098531016852269E-2</v>
      </c>
      <c r="V110">
        <f t="shared" si="33"/>
        <v>91.25</v>
      </c>
      <c r="W110">
        <f t="shared" si="34"/>
        <v>102.82936687014387</v>
      </c>
    </row>
    <row r="111" spans="1:24" x14ac:dyDescent="0.2">
      <c r="D111" t="s">
        <v>82</v>
      </c>
      <c r="E111">
        <v>0</v>
      </c>
      <c r="F111">
        <v>0</v>
      </c>
      <c r="G111">
        <f t="shared" ref="G111:G113" si="38">(E111/100*MIN(F111,100)/100)</f>
        <v>0</v>
      </c>
      <c r="J111">
        <f>$AE$31</f>
        <v>1.3</v>
      </c>
      <c r="L111">
        <f>$AE$59</f>
        <v>0.67</v>
      </c>
      <c r="M111">
        <f t="shared" si="29"/>
        <v>0.53125000000000011</v>
      </c>
      <c r="O111">
        <f>$AE$86</f>
        <v>45</v>
      </c>
      <c r="P111">
        <f t="shared" si="36"/>
        <v>0.94580710356021536</v>
      </c>
      <c r="Q111">
        <f t="shared" si="30"/>
        <v>0.96595254526540064</v>
      </c>
      <c r="R111">
        <f t="shared" si="37"/>
        <v>1</v>
      </c>
      <c r="S111">
        <f t="shared" si="31"/>
        <v>0.91360477901408643</v>
      </c>
      <c r="T111">
        <v>60</v>
      </c>
      <c r="U111">
        <f t="shared" si="32"/>
        <v>1.8755769845464829E-2</v>
      </c>
      <c r="V111">
        <f t="shared" si="33"/>
        <v>91.25</v>
      </c>
      <c r="W111">
        <f t="shared" si="34"/>
        <v>102.68783990391994</v>
      </c>
    </row>
    <row r="112" spans="1:24" x14ac:dyDescent="0.2">
      <c r="D112" t="s">
        <v>83</v>
      </c>
      <c r="E112">
        <v>0</v>
      </c>
      <c r="F112">
        <v>0</v>
      </c>
      <c r="G112">
        <f t="shared" si="38"/>
        <v>0</v>
      </c>
      <c r="J112">
        <f>$AE$32</f>
        <v>0.8</v>
      </c>
      <c r="L112">
        <f>$AE$60</f>
        <v>0.7</v>
      </c>
      <c r="M112">
        <f t="shared" si="29"/>
        <v>0.55510000000000004</v>
      </c>
      <c r="O112">
        <f>$AE$87</f>
        <v>50</v>
      </c>
      <c r="P112">
        <f t="shared" si="36"/>
        <v>1.0993929471578776</v>
      </c>
      <c r="Q112">
        <f t="shared" si="30"/>
        <v>0.72196269954680592</v>
      </c>
      <c r="R112">
        <f t="shared" si="37"/>
        <v>1</v>
      </c>
      <c r="S112">
        <f t="shared" si="31"/>
        <v>0.79372069999282024</v>
      </c>
      <c r="T112">
        <v>50</v>
      </c>
      <c r="U112">
        <f t="shared" si="32"/>
        <v>1.6501949159865022E-2</v>
      </c>
      <c r="V112">
        <f t="shared" si="33"/>
        <v>91.25</v>
      </c>
      <c r="W112">
        <f t="shared" si="34"/>
        <v>75.290143041884164</v>
      </c>
    </row>
    <row r="113" spans="1:23" x14ac:dyDescent="0.2">
      <c r="A113">
        <v>4</v>
      </c>
      <c r="C113" t="s">
        <v>75</v>
      </c>
      <c r="D113" t="s">
        <v>80</v>
      </c>
      <c r="E113">
        <v>95</v>
      </c>
      <c r="F113">
        <v>88</v>
      </c>
      <c r="G113">
        <f t="shared" si="38"/>
        <v>0.83599999999999997</v>
      </c>
      <c r="H113">
        <f>$AC$3</f>
        <v>1.3</v>
      </c>
      <c r="J113">
        <f>$AF$29</f>
        <v>2.5</v>
      </c>
      <c r="L113">
        <f>$AF$57</f>
        <v>0.75</v>
      </c>
      <c r="M113">
        <f t="shared" si="29"/>
        <v>0.5948500000000001</v>
      </c>
      <c r="O113">
        <f>$AF$84</f>
        <v>50</v>
      </c>
      <c r="P113">
        <f t="shared" si="36"/>
        <v>1.1776478069972991</v>
      </c>
      <c r="Q113">
        <f t="shared" si="30"/>
        <v>0.99999627334682795</v>
      </c>
      <c r="R113">
        <f t="shared" si="37"/>
        <v>1.2507999999999999</v>
      </c>
      <c r="S113">
        <f t="shared" si="31"/>
        <v>1.4729963876251044</v>
      </c>
      <c r="T113">
        <v>40</v>
      </c>
      <c r="U113">
        <f t="shared" si="32"/>
        <v>2.9272332087351968E-2</v>
      </c>
      <c r="V113">
        <f t="shared" si="33"/>
        <v>91.25</v>
      </c>
      <c r="W113">
        <f t="shared" si="34"/>
        <v>106.84401211883467</v>
      </c>
    </row>
    <row r="114" spans="1:23" x14ac:dyDescent="0.2">
      <c r="D114" t="s">
        <v>81</v>
      </c>
      <c r="E114">
        <v>0</v>
      </c>
      <c r="F114">
        <v>0</v>
      </c>
      <c r="G114">
        <v>0</v>
      </c>
      <c r="J114">
        <f>$AF$30</f>
        <v>2.5</v>
      </c>
      <c r="L114">
        <f>$AF$58</f>
        <v>0.55000000000000004</v>
      </c>
      <c r="M114">
        <f t="shared" si="29"/>
        <v>0.43585000000000007</v>
      </c>
      <c r="O114">
        <f>$AF$85</f>
        <v>50</v>
      </c>
      <c r="P114">
        <f t="shared" si="36"/>
        <v>0.8646283676396137</v>
      </c>
      <c r="Q114">
        <f t="shared" si="30"/>
        <v>0.99999627334682795</v>
      </c>
      <c r="R114">
        <f t="shared" si="37"/>
        <v>1</v>
      </c>
      <c r="S114">
        <f t="shared" si="31"/>
        <v>0.86462514546956482</v>
      </c>
      <c r="T114">
        <v>45</v>
      </c>
      <c r="U114">
        <f t="shared" si="32"/>
        <v>1.7834952734827821E-2</v>
      </c>
      <c r="V114">
        <f t="shared" si="33"/>
        <v>91.25</v>
      </c>
      <c r="W114">
        <f t="shared" si="34"/>
        <v>73.234774667386745</v>
      </c>
    </row>
    <row r="115" spans="1:23" x14ac:dyDescent="0.2">
      <c r="D115" t="s">
        <v>82</v>
      </c>
      <c r="E115">
        <v>0</v>
      </c>
      <c r="F115">
        <v>0</v>
      </c>
      <c r="G115">
        <v>0</v>
      </c>
      <c r="J115">
        <f>$AF$31</f>
        <v>1.3</v>
      </c>
      <c r="L115">
        <f>$AF$59</f>
        <v>0.67</v>
      </c>
      <c r="M115">
        <f t="shared" si="29"/>
        <v>0.53125000000000011</v>
      </c>
      <c r="O115">
        <f>$AF$86</f>
        <v>50</v>
      </c>
      <c r="P115">
        <f t="shared" si="36"/>
        <v>1.052440031254225</v>
      </c>
      <c r="Q115">
        <f t="shared" si="30"/>
        <v>0.96595254526540064</v>
      </c>
      <c r="R115">
        <f t="shared" si="37"/>
        <v>1</v>
      </c>
      <c r="S115">
        <f t="shared" si="31"/>
        <v>1.0166071269292165</v>
      </c>
      <c r="T115">
        <v>40</v>
      </c>
      <c r="U115">
        <f t="shared" si="32"/>
        <v>2.0692213986269272E-2</v>
      </c>
      <c r="V115">
        <f t="shared" si="33"/>
        <v>91.25</v>
      </c>
      <c r="W115">
        <f t="shared" si="34"/>
        <v>75.52658104988285</v>
      </c>
    </row>
    <row r="116" spans="1:23" x14ac:dyDescent="0.2">
      <c r="D116" t="s">
        <v>83</v>
      </c>
      <c r="E116">
        <v>0</v>
      </c>
      <c r="F116">
        <v>0</v>
      </c>
      <c r="G116">
        <v>0</v>
      </c>
      <c r="J116">
        <f>$AF$32</f>
        <v>0.8</v>
      </c>
      <c r="L116">
        <f>$AF$60</f>
        <v>0.7</v>
      </c>
      <c r="M116">
        <f t="shared" si="29"/>
        <v>0.55510000000000004</v>
      </c>
      <c r="O116">
        <f>$AF$87</f>
        <v>55</v>
      </c>
      <c r="P116">
        <f t="shared" si="36"/>
        <v>1.2118587484135388</v>
      </c>
      <c r="Q116">
        <f t="shared" si="30"/>
        <v>0.72196269954680592</v>
      </c>
      <c r="R116">
        <f t="shared" si="37"/>
        <v>1</v>
      </c>
      <c r="S116">
        <f t="shared" si="31"/>
        <v>0.87491681347405192</v>
      </c>
      <c r="T116">
        <v>35</v>
      </c>
      <c r="U116">
        <f t="shared" si="32"/>
        <v>1.8028436093312179E-2</v>
      </c>
      <c r="V116">
        <f t="shared" si="33"/>
        <v>91.25</v>
      </c>
      <c r="W116">
        <f t="shared" si="34"/>
        <v>57.578317773015769</v>
      </c>
    </row>
    <row r="117" spans="1:23" x14ac:dyDescent="0.2">
      <c r="A117">
        <v>5</v>
      </c>
      <c r="C117" t="s">
        <v>76</v>
      </c>
      <c r="D117" t="s">
        <v>80</v>
      </c>
      <c r="E117">
        <v>0</v>
      </c>
      <c r="F117">
        <v>0</v>
      </c>
      <c r="G117">
        <v>0</v>
      </c>
      <c r="J117">
        <f>$AG$29</f>
        <v>2.5</v>
      </c>
      <c r="L117">
        <f>$AG$57</f>
        <v>0.75</v>
      </c>
      <c r="M117">
        <f t="shared" si="29"/>
        <v>0.5948500000000001</v>
      </c>
      <c r="O117">
        <f>$AG$84</f>
        <v>50</v>
      </c>
      <c r="P117">
        <f t="shared" si="36"/>
        <v>1.1776478069972991</v>
      </c>
      <c r="Q117">
        <f t="shared" si="30"/>
        <v>0.99999627334682795</v>
      </c>
      <c r="R117">
        <v>1</v>
      </c>
      <c r="S117">
        <f t="shared" si="31"/>
        <v>1.1776434183123636</v>
      </c>
      <c r="T117">
        <v>25</v>
      </c>
      <c r="U117">
        <f t="shared" si="32"/>
        <v>2.3719696264272439E-2</v>
      </c>
      <c r="V117">
        <f t="shared" si="33"/>
        <v>91.25</v>
      </c>
      <c r="W117">
        <f t="shared" si="34"/>
        <v>54.110557102871503</v>
      </c>
    </row>
    <row r="118" spans="1:23" x14ac:dyDescent="0.2">
      <c r="D118" t="s">
        <v>81</v>
      </c>
      <c r="E118">
        <v>0</v>
      </c>
      <c r="F118">
        <v>0</v>
      </c>
      <c r="G118">
        <v>0</v>
      </c>
      <c r="J118">
        <f>$AG$30</f>
        <v>2.5</v>
      </c>
      <c r="L118">
        <f>$AG$58</f>
        <v>0.55000000000000004</v>
      </c>
      <c r="M118">
        <f t="shared" si="29"/>
        <v>0.43585000000000007</v>
      </c>
      <c r="O118">
        <f>$AG$85</f>
        <v>50</v>
      </c>
      <c r="P118">
        <f t="shared" si="36"/>
        <v>0.8646283676396137</v>
      </c>
      <c r="Q118">
        <f t="shared" si="30"/>
        <v>0.99999627334682795</v>
      </c>
      <c r="R118">
        <v>1</v>
      </c>
      <c r="S118">
        <f t="shared" si="31"/>
        <v>0.86462514546956482</v>
      </c>
      <c r="T118">
        <v>30</v>
      </c>
      <c r="U118">
        <f t="shared" si="32"/>
        <v>1.7834952734827821E-2</v>
      </c>
      <c r="V118">
        <f t="shared" si="33"/>
        <v>91.25</v>
      </c>
      <c r="W118">
        <f t="shared" si="34"/>
        <v>48.823183111591163</v>
      </c>
    </row>
    <row r="119" spans="1:23" x14ac:dyDescent="0.2">
      <c r="D119" t="s">
        <v>82</v>
      </c>
      <c r="E119">
        <v>0</v>
      </c>
      <c r="F119">
        <v>0</v>
      </c>
      <c r="G119">
        <v>0</v>
      </c>
      <c r="J119">
        <f>$AG$31</f>
        <v>1.3</v>
      </c>
      <c r="L119">
        <f>$AG$59</f>
        <v>0.67</v>
      </c>
      <c r="M119">
        <f t="shared" si="29"/>
        <v>0.53125000000000011</v>
      </c>
      <c r="O119">
        <f>$AG$86</f>
        <v>50</v>
      </c>
      <c r="P119">
        <f t="shared" si="36"/>
        <v>1.052440031254225</v>
      </c>
      <c r="Q119">
        <f t="shared" si="30"/>
        <v>0.96595254526540064</v>
      </c>
      <c r="R119">
        <v>1</v>
      </c>
      <c r="S119">
        <f t="shared" si="31"/>
        <v>1.0166071269292165</v>
      </c>
      <c r="T119">
        <v>25</v>
      </c>
      <c r="U119">
        <f t="shared" si="32"/>
        <v>2.0692213986269272E-2</v>
      </c>
      <c r="V119">
        <f t="shared" si="33"/>
        <v>91.25</v>
      </c>
      <c r="W119">
        <f t="shared" si="34"/>
        <v>47.204113156176774</v>
      </c>
    </row>
    <row r="120" spans="1:23" x14ac:dyDescent="0.2">
      <c r="D120" t="s">
        <v>83</v>
      </c>
      <c r="E120">
        <v>0</v>
      </c>
      <c r="F120">
        <v>0</v>
      </c>
      <c r="G120">
        <v>0</v>
      </c>
      <c r="J120">
        <f>$AG$32</f>
        <v>0.8</v>
      </c>
      <c r="L120">
        <f>$AG$60</f>
        <v>0.7</v>
      </c>
      <c r="M120">
        <f t="shared" si="29"/>
        <v>0.55510000000000004</v>
      </c>
      <c r="O120">
        <f>$AG$87</f>
        <v>50</v>
      </c>
      <c r="P120">
        <f t="shared" si="36"/>
        <v>1.0993929471578776</v>
      </c>
      <c r="Q120">
        <f t="shared" si="30"/>
        <v>0.72196269954680592</v>
      </c>
      <c r="R120">
        <v>1</v>
      </c>
      <c r="S120">
        <f t="shared" si="31"/>
        <v>0.79372069999282024</v>
      </c>
      <c r="T120">
        <v>20</v>
      </c>
      <c r="U120">
        <f t="shared" si="32"/>
        <v>1.6501949159865022E-2</v>
      </c>
      <c r="V120">
        <f t="shared" si="33"/>
        <v>91.25</v>
      </c>
      <c r="W120">
        <f t="shared" si="34"/>
        <v>30.116057216753667</v>
      </c>
    </row>
    <row r="121" spans="1:23" x14ac:dyDescent="0.2">
      <c r="A121">
        <v>6</v>
      </c>
      <c r="C121" t="s">
        <v>77</v>
      </c>
      <c r="D121" t="s">
        <v>80</v>
      </c>
      <c r="E121">
        <v>0</v>
      </c>
      <c r="F121">
        <v>0</v>
      </c>
      <c r="G121">
        <v>0</v>
      </c>
      <c r="J121">
        <f>$AH$29</f>
        <v>2.5</v>
      </c>
      <c r="L121">
        <f>$AH$57</f>
        <v>0.75</v>
      </c>
      <c r="M121">
        <f t="shared" si="29"/>
        <v>0.5948500000000001</v>
      </c>
      <c r="O121">
        <f>$AH$84</f>
        <v>14</v>
      </c>
      <c r="P121">
        <f t="shared" si="36"/>
        <v>0.3733079325984448</v>
      </c>
      <c r="Q121">
        <f t="shared" si="30"/>
        <v>0.99999627334682795</v>
      </c>
      <c r="R121">
        <v>1</v>
      </c>
      <c r="S121">
        <f t="shared" si="31"/>
        <v>0.37330654140925362</v>
      </c>
      <c r="T121">
        <v>15</v>
      </c>
      <c r="U121">
        <f t="shared" si="32"/>
        <v>8.5981629784939693E-3</v>
      </c>
      <c r="V121">
        <f t="shared" si="33"/>
        <v>91.25</v>
      </c>
      <c r="W121">
        <f t="shared" si="34"/>
        <v>11.76873557681362</v>
      </c>
    </row>
    <row r="122" spans="1:23" x14ac:dyDescent="0.2">
      <c r="D122" t="s">
        <v>81</v>
      </c>
      <c r="E122">
        <v>0</v>
      </c>
      <c r="F122">
        <v>0</v>
      </c>
      <c r="G122">
        <v>0</v>
      </c>
      <c r="J122">
        <f>$AH$30</f>
        <v>2.5</v>
      </c>
      <c r="L122">
        <f>$AH$58</f>
        <v>0.55000000000000004</v>
      </c>
      <c r="M122">
        <f t="shared" si="29"/>
        <v>0.43585000000000007</v>
      </c>
      <c r="O122">
        <f>$AH$85</f>
        <v>24</v>
      </c>
      <c r="P122">
        <f t="shared" si="36"/>
        <v>0.41205872426603418</v>
      </c>
      <c r="Q122">
        <f t="shared" si="30"/>
        <v>0.99999627334682795</v>
      </c>
      <c r="R122">
        <v>1</v>
      </c>
      <c r="S122">
        <f t="shared" si="31"/>
        <v>0.41205718866608232</v>
      </c>
      <c r="T122">
        <v>45</v>
      </c>
      <c r="U122">
        <f t="shared" si="32"/>
        <v>9.3266751469223488E-3</v>
      </c>
      <c r="V122">
        <f t="shared" si="33"/>
        <v>91.25</v>
      </c>
      <c r="W122">
        <f t="shared" si="34"/>
        <v>38.297659822049894</v>
      </c>
    </row>
    <row r="123" spans="1:23" x14ac:dyDescent="0.2">
      <c r="D123" t="s">
        <v>82</v>
      </c>
      <c r="E123">
        <v>0</v>
      </c>
      <c r="F123">
        <v>0</v>
      </c>
      <c r="G123">
        <v>0</v>
      </c>
      <c r="J123">
        <f>$AH$31</f>
        <v>1.3</v>
      </c>
      <c r="L123">
        <f>$AH$59</f>
        <v>0.67</v>
      </c>
      <c r="M123">
        <f t="shared" si="29"/>
        <v>0.53125000000000011</v>
      </c>
      <c r="O123">
        <f>$AH$86</f>
        <v>36</v>
      </c>
      <c r="P123">
        <f t="shared" si="36"/>
        <v>0.75944776069416087</v>
      </c>
      <c r="Q123">
        <f t="shared" si="30"/>
        <v>0.96595254526540064</v>
      </c>
      <c r="R123">
        <v>1</v>
      </c>
      <c r="S123">
        <f t="shared" si="31"/>
        <v>0.73359049743863358</v>
      </c>
      <c r="T123">
        <v>40</v>
      </c>
      <c r="U123">
        <f t="shared" si="32"/>
        <v>1.5371501351846312E-2</v>
      </c>
      <c r="V123">
        <f t="shared" si="33"/>
        <v>91.25</v>
      </c>
      <c r="W123">
        <f t="shared" si="34"/>
        <v>56.105979934239038</v>
      </c>
    </row>
    <row r="124" spans="1:23" x14ac:dyDescent="0.2">
      <c r="D124" t="s">
        <v>83</v>
      </c>
      <c r="E124">
        <v>0</v>
      </c>
      <c r="F124">
        <v>0</v>
      </c>
      <c r="G124">
        <v>0</v>
      </c>
      <c r="J124">
        <f>$AH$32</f>
        <v>0.8</v>
      </c>
      <c r="L124">
        <f>$AH$60</f>
        <v>0.7</v>
      </c>
      <c r="M124">
        <f t="shared" si="29"/>
        <v>0.55510000000000004</v>
      </c>
      <c r="O124">
        <f>$AH$87</f>
        <v>42</v>
      </c>
      <c r="P124">
        <f t="shared" si="36"/>
        <v>0.92411404077093851</v>
      </c>
      <c r="Q124">
        <f t="shared" si="30"/>
        <v>0.72196269954680592</v>
      </c>
      <c r="R124">
        <v>1</v>
      </c>
      <c r="S124">
        <f t="shared" si="31"/>
        <v>0.66717586756409386</v>
      </c>
      <c r="T124">
        <v>30</v>
      </c>
      <c r="U124">
        <f t="shared" si="32"/>
        <v>1.4122906310204965E-2</v>
      </c>
      <c r="V124">
        <f t="shared" si="33"/>
        <v>91.25</v>
      </c>
      <c r="W124">
        <f t="shared" si="34"/>
        <v>38.661456024186094</v>
      </c>
    </row>
    <row r="131" spans="1:24" x14ac:dyDescent="0.2">
      <c r="A131" t="s">
        <v>104</v>
      </c>
      <c r="B131" t="s">
        <v>105</v>
      </c>
      <c r="C131" t="s">
        <v>72</v>
      </c>
      <c r="D131" t="s">
        <v>80</v>
      </c>
      <c r="E131">
        <v>0</v>
      </c>
      <c r="F131">
        <v>0</v>
      </c>
      <c r="G131">
        <v>0</v>
      </c>
      <c r="J131">
        <f>$AC$33</f>
        <v>3.2</v>
      </c>
      <c r="L131">
        <f>$AC$61</f>
        <v>0.7</v>
      </c>
      <c r="M131">
        <f>(0.795 * L131) - 0.0014</f>
        <v>0.55510000000000004</v>
      </c>
      <c r="O131">
        <f>$AC$88</f>
        <v>70</v>
      </c>
      <c r="P131">
        <f>(104.7 * M131 + 0.307 * O131- 15) * POWER(O131, 0.75) * 10^-3</f>
        <v>1.5635664662315347</v>
      </c>
      <c r="Q131">
        <f>1-EXP(-2*POWER(J131,2))</f>
        <v>0.99999999872459233</v>
      </c>
      <c r="R131">
        <v>1</v>
      </c>
      <c r="S131">
        <f>P131 * Q131 * R131</f>
        <v>1.5635664642373501</v>
      </c>
      <c r="T131">
        <v>25</v>
      </c>
      <c r="U131">
        <f>(S131 * 0.0188) + 0.00158</f>
        <v>3.0975049527662186E-2</v>
      </c>
      <c r="V131">
        <f>$AC$4</f>
        <v>91.25</v>
      </c>
      <c r="W131">
        <f>T131*U131*V131</f>
        <v>70.661831734979359</v>
      </c>
      <c r="X131">
        <f>SUM(W131:W154)*10^-3</f>
        <v>1.6673196768701513</v>
      </c>
    </row>
    <row r="132" spans="1:24" x14ac:dyDescent="0.2">
      <c r="D132" t="s">
        <v>81</v>
      </c>
      <c r="E132">
        <v>0</v>
      </c>
      <c r="F132">
        <v>0</v>
      </c>
      <c r="G132">
        <v>0</v>
      </c>
      <c r="J132">
        <f>$AC$34</f>
        <v>3</v>
      </c>
      <c r="L132">
        <f>$AC$62</f>
        <v>0.55000000000000004</v>
      </c>
      <c r="M132">
        <f t="shared" ref="M132:M154" si="39">(0.795 * L132) - 0.0014</f>
        <v>0.43585000000000007</v>
      </c>
      <c r="O132">
        <f>$AC$89</f>
        <v>65</v>
      </c>
      <c r="P132">
        <f>(104.7 * M132 + 0.307 * O132- 15) * POWER(O132, 0.75) * 10^-3</f>
        <v>1.1580752413958724</v>
      </c>
      <c r="Q132">
        <f t="shared" ref="Q132:Q154" si="40">1-EXP(-2*POWER(J132,2))</f>
        <v>0.99999998477002028</v>
      </c>
      <c r="R132">
        <v>1</v>
      </c>
      <c r="S132">
        <f t="shared" ref="S132:S154" si="41">P132 * Q132 * R132</f>
        <v>1.15807522375841</v>
      </c>
      <c r="T132">
        <v>20</v>
      </c>
      <c r="U132">
        <f t="shared" ref="U132:U154" si="42">(S132 * 0.0188) + 0.00158</f>
        <v>2.3351814206658109E-2</v>
      </c>
      <c r="V132">
        <f t="shared" ref="V132:V154" si="43">$AC$4</f>
        <v>91.25</v>
      </c>
      <c r="W132">
        <f t="shared" ref="W132:W154" si="44">T132*U132*V132</f>
        <v>42.617060927151051</v>
      </c>
    </row>
    <row r="133" spans="1:24" x14ac:dyDescent="0.2">
      <c r="D133" t="s">
        <v>82</v>
      </c>
      <c r="E133">
        <v>0</v>
      </c>
      <c r="F133">
        <v>0</v>
      </c>
      <c r="G133">
        <v>0</v>
      </c>
      <c r="J133">
        <f>$AC$35</f>
        <v>1.8</v>
      </c>
      <c r="L133">
        <f>$AC$63</f>
        <v>0.65</v>
      </c>
      <c r="M133">
        <f t="shared" si="39"/>
        <v>0.51535000000000009</v>
      </c>
      <c r="O133">
        <f>$AC$90</f>
        <v>65</v>
      </c>
      <c r="P133">
        <f t="shared" ref="P133:P138" si="45">(104.7 * M133 + 0.307 * O133- 15) * POWER(O133, 0.75) * 10^-3</f>
        <v>1.3486207988995054</v>
      </c>
      <c r="Q133">
        <f t="shared" si="40"/>
        <v>0.99846618932067555</v>
      </c>
      <c r="R133">
        <v>1</v>
      </c>
      <c r="S133">
        <f t="shared" si="41"/>
        <v>1.3465522699157941</v>
      </c>
      <c r="T133">
        <v>19</v>
      </c>
      <c r="U133">
        <f t="shared" si="42"/>
        <v>2.6895182674416932E-2</v>
      </c>
      <c r="V133">
        <f t="shared" si="43"/>
        <v>91.25</v>
      </c>
      <c r="W133">
        <f t="shared" si="44"/>
        <v>46.629522961770363</v>
      </c>
    </row>
    <row r="134" spans="1:24" x14ac:dyDescent="0.2">
      <c r="D134" t="s">
        <v>83</v>
      </c>
      <c r="E134">
        <v>0</v>
      </c>
      <c r="F134">
        <v>0</v>
      </c>
      <c r="G134">
        <v>0</v>
      </c>
      <c r="J134">
        <f>$AC$36</f>
        <v>1</v>
      </c>
      <c r="L134">
        <f>$AC$64</f>
        <v>0.6</v>
      </c>
      <c r="M134">
        <f t="shared" si="39"/>
        <v>0.47559999999999997</v>
      </c>
      <c r="O134">
        <f>$AC$91</f>
        <v>60</v>
      </c>
      <c r="P134">
        <f t="shared" si="45"/>
        <v>1.1472289977258807</v>
      </c>
      <c r="Q134">
        <f t="shared" si="40"/>
        <v>0.8646647167633873</v>
      </c>
      <c r="R134">
        <v>1</v>
      </c>
      <c r="S134">
        <f t="shared" si="41"/>
        <v>0.99196843638139331</v>
      </c>
      <c r="T134">
        <v>25</v>
      </c>
      <c r="U134">
        <f t="shared" si="42"/>
        <v>2.0229006603970198E-2</v>
      </c>
      <c r="V134">
        <f t="shared" si="43"/>
        <v>91.25</v>
      </c>
      <c r="W134">
        <f t="shared" si="44"/>
        <v>46.147421315307014</v>
      </c>
    </row>
    <row r="135" spans="1:24" x14ac:dyDescent="0.2">
      <c r="A135">
        <v>2</v>
      </c>
      <c r="C135" t="s">
        <v>73</v>
      </c>
      <c r="D135" t="s">
        <v>80</v>
      </c>
      <c r="E135">
        <v>0</v>
      </c>
      <c r="F135">
        <v>0</v>
      </c>
      <c r="G135">
        <v>0</v>
      </c>
      <c r="J135">
        <f>$AD$33</f>
        <v>3.2</v>
      </c>
      <c r="L135">
        <f>$AD$61</f>
        <v>0.7</v>
      </c>
      <c r="M135">
        <f t="shared" si="39"/>
        <v>0.55510000000000004</v>
      </c>
      <c r="O135">
        <f>$AD$88</f>
        <v>60</v>
      </c>
      <c r="P135">
        <f t="shared" si="45"/>
        <v>1.3266722980183725</v>
      </c>
      <c r="Q135">
        <f t="shared" si="40"/>
        <v>0.99999999872459233</v>
      </c>
      <c r="R135">
        <v>1</v>
      </c>
      <c r="S135">
        <f t="shared" si="41"/>
        <v>1.3266722963263244</v>
      </c>
      <c r="T135">
        <v>50</v>
      </c>
      <c r="U135">
        <f t="shared" si="42"/>
        <v>2.6521439170934902E-2</v>
      </c>
      <c r="V135">
        <f t="shared" si="43"/>
        <v>91.25</v>
      </c>
      <c r="W135">
        <f t="shared" si="44"/>
        <v>121.00406621739049</v>
      </c>
    </row>
    <row r="136" spans="1:24" x14ac:dyDescent="0.2">
      <c r="D136" t="s">
        <v>81</v>
      </c>
      <c r="E136">
        <v>0</v>
      </c>
      <c r="F136">
        <v>0</v>
      </c>
      <c r="G136">
        <v>0</v>
      </c>
      <c r="J136">
        <f>$AD$34</f>
        <v>3</v>
      </c>
      <c r="L136">
        <f>$AD$62</f>
        <v>0.55000000000000004</v>
      </c>
      <c r="M136">
        <f t="shared" si="39"/>
        <v>0.43585000000000007</v>
      </c>
      <c r="O136">
        <f>$AD$89</f>
        <v>55</v>
      </c>
      <c r="P136">
        <f t="shared" si="45"/>
        <v>0.95969823125361531</v>
      </c>
      <c r="Q136">
        <f t="shared" si="40"/>
        <v>0.99999998477002028</v>
      </c>
      <c r="R136">
        <v>1</v>
      </c>
      <c r="S136">
        <f t="shared" si="41"/>
        <v>0.95969821663743071</v>
      </c>
      <c r="T136">
        <v>60</v>
      </c>
      <c r="U136">
        <f t="shared" si="42"/>
        <v>1.96223264727837E-2</v>
      </c>
      <c r="V136">
        <f t="shared" si="43"/>
        <v>91.25</v>
      </c>
      <c r="W136">
        <f t="shared" si="44"/>
        <v>107.43223743849074</v>
      </c>
    </row>
    <row r="137" spans="1:24" x14ac:dyDescent="0.2">
      <c r="D137" t="s">
        <v>82</v>
      </c>
      <c r="E137">
        <v>0</v>
      </c>
      <c r="F137">
        <v>0</v>
      </c>
      <c r="G137">
        <v>0</v>
      </c>
      <c r="J137">
        <f>$AD$35</f>
        <v>1.8</v>
      </c>
      <c r="L137">
        <f>$AD$63</f>
        <v>0.65</v>
      </c>
      <c r="M137">
        <f t="shared" si="39"/>
        <v>0.51535000000000009</v>
      </c>
      <c r="O137">
        <f>$AD$90</f>
        <v>52</v>
      </c>
      <c r="P137">
        <f t="shared" si="45"/>
        <v>1.0635112555960096</v>
      </c>
      <c r="Q137">
        <f t="shared" si="40"/>
        <v>0.99846618932067555</v>
      </c>
      <c r="R137">
        <v>1</v>
      </c>
      <c r="S137">
        <f t="shared" si="41"/>
        <v>1.0618800306745946</v>
      </c>
      <c r="T137">
        <v>55</v>
      </c>
      <c r="U137">
        <f t="shared" si="42"/>
        <v>2.1543344576682381E-2</v>
      </c>
      <c r="V137">
        <f t="shared" si="43"/>
        <v>91.25</v>
      </c>
      <c r="W137">
        <f t="shared" si="44"/>
        <v>108.1206605942247</v>
      </c>
    </row>
    <row r="138" spans="1:24" x14ac:dyDescent="0.2">
      <c r="D138" t="s">
        <v>83</v>
      </c>
      <c r="E138">
        <v>0</v>
      </c>
      <c r="F138">
        <v>0</v>
      </c>
      <c r="G138">
        <v>0</v>
      </c>
      <c r="J138">
        <f>$AD$36</f>
        <v>1</v>
      </c>
      <c r="L138">
        <f>$AD$64</f>
        <v>0.6</v>
      </c>
      <c r="M138">
        <f t="shared" si="39"/>
        <v>0.47559999999999997</v>
      </c>
      <c r="O138">
        <f>$AD$91</f>
        <v>50</v>
      </c>
      <c r="P138">
        <f t="shared" si="45"/>
        <v>0.94288322747903475</v>
      </c>
      <c r="Q138">
        <f t="shared" si="40"/>
        <v>0.8646647167633873</v>
      </c>
      <c r="R138">
        <v>1</v>
      </c>
      <c r="S138">
        <f t="shared" si="41"/>
        <v>0.81527785882910808</v>
      </c>
      <c r="T138">
        <v>55</v>
      </c>
      <c r="U138">
        <f t="shared" si="42"/>
        <v>1.6907223745987233E-2</v>
      </c>
      <c r="V138">
        <f t="shared" si="43"/>
        <v>91.25</v>
      </c>
      <c r="W138">
        <f t="shared" si="44"/>
        <v>84.853129175173422</v>
      </c>
    </row>
    <row r="139" spans="1:24" x14ac:dyDescent="0.2">
      <c r="A139">
        <v>3</v>
      </c>
      <c r="C139" t="s">
        <v>74</v>
      </c>
      <c r="D139" t="s">
        <v>80</v>
      </c>
      <c r="E139">
        <v>92</v>
      </c>
      <c r="F139">
        <v>87</v>
      </c>
      <c r="G139">
        <f>(E139/100*MIN(F139,100)/100)</f>
        <v>0.80040000000000011</v>
      </c>
      <c r="H139">
        <f>$AC$3</f>
        <v>1.3</v>
      </c>
      <c r="J139">
        <f>$AE$33</f>
        <v>3.2</v>
      </c>
      <c r="L139">
        <f>$AE$61</f>
        <v>0.7</v>
      </c>
      <c r="M139">
        <f t="shared" si="39"/>
        <v>0.55510000000000004</v>
      </c>
      <c r="O139">
        <f>$AE$88</f>
        <v>50</v>
      </c>
      <c r="P139">
        <f>(104.7 * M139 + 0.307 * O139- 15) * POWER(O139, 0.75) * 10^-3</f>
        <v>1.0993929471578776</v>
      </c>
      <c r="Q139">
        <f t="shared" si="40"/>
        <v>0.99999999872459233</v>
      </c>
      <c r="R139">
        <f>(G139 * H139) + (1 - G139)</f>
        <v>1.2401200000000001</v>
      </c>
      <c r="S139">
        <f t="shared" si="41"/>
        <v>1.363379179890563</v>
      </c>
      <c r="T139">
        <v>60</v>
      </c>
      <c r="U139">
        <f t="shared" si="42"/>
        <v>2.7211528581942587E-2</v>
      </c>
      <c r="V139">
        <f t="shared" si="43"/>
        <v>91.25</v>
      </c>
      <c r="W139">
        <f t="shared" si="44"/>
        <v>148.98311898613565</v>
      </c>
    </row>
    <row r="140" spans="1:24" x14ac:dyDescent="0.2">
      <c r="D140" t="s">
        <v>81</v>
      </c>
      <c r="E140">
        <v>0</v>
      </c>
      <c r="F140">
        <v>0</v>
      </c>
      <c r="G140">
        <f>(E140/100*MIN(F140,100)/100)</f>
        <v>0</v>
      </c>
      <c r="J140">
        <f>$AE$34</f>
        <v>3</v>
      </c>
      <c r="L140">
        <f>$AE$62</f>
        <v>0.55000000000000004</v>
      </c>
      <c r="M140">
        <f t="shared" si="39"/>
        <v>0.43585000000000007</v>
      </c>
      <c r="O140">
        <f>$AE$89</f>
        <v>45</v>
      </c>
      <c r="P140">
        <f t="shared" ref="P140:P154" si="46">(104.7 * M140 + 0.307 * O140- 15) * POWER(O140, 0.75) * 10^-3</f>
        <v>0.77226516609487061</v>
      </c>
      <c r="Q140">
        <f t="shared" si="40"/>
        <v>0.99999998477002028</v>
      </c>
      <c r="R140">
        <f t="shared" ref="R140:R146" si="47">(G140 * H140) + (1 - G140)</f>
        <v>1</v>
      </c>
      <c r="S140">
        <f t="shared" si="41"/>
        <v>0.7722651543332878</v>
      </c>
      <c r="T140">
        <v>70</v>
      </c>
      <c r="U140">
        <f t="shared" si="42"/>
        <v>1.6098584901465811E-2</v>
      </c>
      <c r="V140">
        <f t="shared" si="43"/>
        <v>91.25</v>
      </c>
      <c r="W140">
        <f t="shared" si="44"/>
        <v>102.82971105811286</v>
      </c>
    </row>
    <row r="141" spans="1:24" x14ac:dyDescent="0.2">
      <c r="D141" t="s">
        <v>82</v>
      </c>
      <c r="E141">
        <v>0</v>
      </c>
      <c r="F141">
        <v>0</v>
      </c>
      <c r="G141">
        <f t="shared" ref="G141:G143" si="48">(E141/100*MIN(F141,100)/100)</f>
        <v>0</v>
      </c>
      <c r="J141">
        <f>$AE$35</f>
        <v>1.8</v>
      </c>
      <c r="L141">
        <f>$AE$63</f>
        <v>0.65</v>
      </c>
      <c r="M141">
        <f t="shared" si="39"/>
        <v>0.51535000000000009</v>
      </c>
      <c r="O141">
        <f>$AE$90</f>
        <v>43</v>
      </c>
      <c r="P141">
        <f t="shared" si="46"/>
        <v>0.87583738496773078</v>
      </c>
      <c r="Q141">
        <f t="shared" si="40"/>
        <v>0.99846618932067555</v>
      </c>
      <c r="R141">
        <f t="shared" si="47"/>
        <v>1</v>
      </c>
      <c r="S141">
        <f t="shared" si="41"/>
        <v>0.87449401623331569</v>
      </c>
      <c r="T141">
        <v>60</v>
      </c>
      <c r="U141">
        <f t="shared" si="42"/>
        <v>1.8020487505186335E-2</v>
      </c>
      <c r="V141">
        <f t="shared" si="43"/>
        <v>91.25</v>
      </c>
      <c r="W141">
        <f t="shared" si="44"/>
        <v>98.66216909089519</v>
      </c>
    </row>
    <row r="142" spans="1:24" x14ac:dyDescent="0.2">
      <c r="D142" t="s">
        <v>83</v>
      </c>
      <c r="E142">
        <v>0</v>
      </c>
      <c r="F142">
        <v>0</v>
      </c>
      <c r="G142">
        <f t="shared" si="48"/>
        <v>0</v>
      </c>
      <c r="J142">
        <f>$AE$36</f>
        <v>1</v>
      </c>
      <c r="L142">
        <f>$AE$64</f>
        <v>0.6</v>
      </c>
      <c r="M142">
        <f t="shared" si="39"/>
        <v>0.47559999999999997</v>
      </c>
      <c r="O142">
        <f>$AE$91</f>
        <v>40</v>
      </c>
      <c r="P142">
        <f t="shared" si="46"/>
        <v>0.74875248086684232</v>
      </c>
      <c r="Q142">
        <f t="shared" si="40"/>
        <v>0.8646647167633873</v>
      </c>
      <c r="R142">
        <f t="shared" si="47"/>
        <v>1</v>
      </c>
      <c r="S142">
        <f t="shared" si="41"/>
        <v>0.64741985179461181</v>
      </c>
      <c r="T142">
        <v>50</v>
      </c>
      <c r="U142">
        <f t="shared" si="42"/>
        <v>1.3751493213738702E-2</v>
      </c>
      <c r="V142">
        <f t="shared" si="43"/>
        <v>91.25</v>
      </c>
      <c r="W142">
        <f t="shared" si="44"/>
        <v>62.741187787682826</v>
      </c>
    </row>
    <row r="143" spans="1:24" x14ac:dyDescent="0.2">
      <c r="A143">
        <v>4</v>
      </c>
      <c r="C143" t="s">
        <v>75</v>
      </c>
      <c r="D143" t="s">
        <v>80</v>
      </c>
      <c r="E143">
        <v>95</v>
      </c>
      <c r="F143">
        <v>88</v>
      </c>
      <c r="G143">
        <f t="shared" si="48"/>
        <v>0.83599999999999997</v>
      </c>
      <c r="H143">
        <f>$AC$3</f>
        <v>1.3</v>
      </c>
      <c r="J143">
        <f>$AF$33</f>
        <v>3.2</v>
      </c>
      <c r="L143">
        <f>$AF$61</f>
        <v>0.7</v>
      </c>
      <c r="M143">
        <f t="shared" si="39"/>
        <v>0.55510000000000004</v>
      </c>
      <c r="O143">
        <f>$AF$88</f>
        <v>55</v>
      </c>
      <c r="P143">
        <f t="shared" si="46"/>
        <v>1.2118587484135388</v>
      </c>
      <c r="Q143">
        <f t="shared" si="40"/>
        <v>0.99999999872459233</v>
      </c>
      <c r="R143">
        <f t="shared" si="47"/>
        <v>1.2507999999999999</v>
      </c>
      <c r="S143">
        <f t="shared" si="41"/>
        <v>1.5157929205824003</v>
      </c>
      <c r="T143">
        <v>40</v>
      </c>
      <c r="U143">
        <f t="shared" si="42"/>
        <v>3.0076906906949127E-2</v>
      </c>
      <c r="V143">
        <f t="shared" si="43"/>
        <v>91.25</v>
      </c>
      <c r="W143">
        <f t="shared" si="44"/>
        <v>109.78071021036432</v>
      </c>
    </row>
    <row r="144" spans="1:24" x14ac:dyDescent="0.2">
      <c r="D144" t="s">
        <v>81</v>
      </c>
      <c r="E144">
        <v>0</v>
      </c>
      <c r="F144">
        <v>0</v>
      </c>
      <c r="G144">
        <v>0</v>
      </c>
      <c r="J144">
        <f>$AF$34</f>
        <v>3</v>
      </c>
      <c r="L144">
        <f>$AF$62</f>
        <v>0.55000000000000004</v>
      </c>
      <c r="M144">
        <f t="shared" si="39"/>
        <v>0.43585000000000007</v>
      </c>
      <c r="O144">
        <f>$AF$89</f>
        <v>50</v>
      </c>
      <c r="P144">
        <f t="shared" si="46"/>
        <v>0.8646283676396137</v>
      </c>
      <c r="Q144">
        <f t="shared" si="40"/>
        <v>0.99999998477002028</v>
      </c>
      <c r="R144">
        <f t="shared" si="47"/>
        <v>1</v>
      </c>
      <c r="S144">
        <f t="shared" si="41"/>
        <v>0.86462835447134123</v>
      </c>
      <c r="T144">
        <v>45</v>
      </c>
      <c r="U144">
        <f t="shared" si="42"/>
        <v>1.7835013064061218E-2</v>
      </c>
      <c r="V144">
        <f t="shared" si="43"/>
        <v>91.25</v>
      </c>
      <c r="W144">
        <f t="shared" si="44"/>
        <v>73.235022394301382</v>
      </c>
    </row>
    <row r="145" spans="1:23" x14ac:dyDescent="0.2">
      <c r="D145" t="s">
        <v>82</v>
      </c>
      <c r="E145">
        <v>0</v>
      </c>
      <c r="F145">
        <v>0</v>
      </c>
      <c r="G145">
        <v>0</v>
      </c>
      <c r="J145">
        <f>$AF$35</f>
        <v>1.8</v>
      </c>
      <c r="L145">
        <f>$AF$63</f>
        <v>0.65</v>
      </c>
      <c r="M145">
        <f t="shared" si="39"/>
        <v>0.51535000000000009</v>
      </c>
      <c r="O145">
        <f>$AF$90</f>
        <v>48</v>
      </c>
      <c r="P145">
        <f t="shared" si="46"/>
        <v>0.97915122350076966</v>
      </c>
      <c r="Q145">
        <f t="shared" si="40"/>
        <v>0.99846618932067555</v>
      </c>
      <c r="R145">
        <f t="shared" si="47"/>
        <v>1</v>
      </c>
      <c r="S145">
        <f t="shared" si="41"/>
        <v>0.97764939089749059</v>
      </c>
      <c r="T145">
        <v>40</v>
      </c>
      <c r="U145">
        <f t="shared" si="42"/>
        <v>1.9959808548872825E-2</v>
      </c>
      <c r="V145">
        <f t="shared" si="43"/>
        <v>91.25</v>
      </c>
      <c r="W145">
        <f t="shared" si="44"/>
        <v>72.853301203385811</v>
      </c>
    </row>
    <row r="146" spans="1:23" x14ac:dyDescent="0.2">
      <c r="D146" t="s">
        <v>83</v>
      </c>
      <c r="E146">
        <v>0</v>
      </c>
      <c r="F146">
        <v>0</v>
      </c>
      <c r="G146">
        <v>0</v>
      </c>
      <c r="J146">
        <f>$AF$36</f>
        <v>1</v>
      </c>
      <c r="L146">
        <f>$AF$64</f>
        <v>0.6</v>
      </c>
      <c r="M146">
        <f t="shared" si="39"/>
        <v>0.47559999999999997</v>
      </c>
      <c r="O146">
        <f>$AF$91</f>
        <v>45</v>
      </c>
      <c r="P146">
        <f t="shared" si="46"/>
        <v>0.84457430670543054</v>
      </c>
      <c r="Q146">
        <f t="shared" si="40"/>
        <v>0.8646647167633873</v>
      </c>
      <c r="R146">
        <f t="shared" si="47"/>
        <v>1</v>
      </c>
      <c r="S146">
        <f t="shared" si="41"/>
        <v>0.73027360369308525</v>
      </c>
      <c r="T146">
        <v>35</v>
      </c>
      <c r="U146">
        <f t="shared" si="42"/>
        <v>1.5309143749430003E-2</v>
      </c>
      <c r="V146">
        <f t="shared" si="43"/>
        <v>91.25</v>
      </c>
      <c r="W146">
        <f t="shared" si="44"/>
        <v>48.893577849742066</v>
      </c>
    </row>
    <row r="147" spans="1:23" x14ac:dyDescent="0.2">
      <c r="A147">
        <v>5</v>
      </c>
      <c r="C147" t="s">
        <v>76</v>
      </c>
      <c r="D147" t="s">
        <v>80</v>
      </c>
      <c r="E147">
        <v>0</v>
      </c>
      <c r="F147">
        <v>0</v>
      </c>
      <c r="G147">
        <v>0</v>
      </c>
      <c r="J147">
        <f>$AG$33</f>
        <v>3.2</v>
      </c>
      <c r="L147">
        <f>$AG$61</f>
        <v>0.7</v>
      </c>
      <c r="M147">
        <f t="shared" si="39"/>
        <v>0.55510000000000004</v>
      </c>
      <c r="O147">
        <f>$AG$88</f>
        <v>50</v>
      </c>
      <c r="P147">
        <f t="shared" si="46"/>
        <v>1.0993929471578776</v>
      </c>
      <c r="Q147">
        <f t="shared" si="40"/>
        <v>0.99999999872459233</v>
      </c>
      <c r="R147">
        <v>1</v>
      </c>
      <c r="S147">
        <f t="shared" si="41"/>
        <v>1.0993929457557035</v>
      </c>
      <c r="T147">
        <v>25</v>
      </c>
      <c r="U147">
        <f t="shared" si="42"/>
        <v>2.2248587380207227E-2</v>
      </c>
      <c r="V147">
        <f t="shared" si="43"/>
        <v>91.25</v>
      </c>
      <c r="W147">
        <f t="shared" si="44"/>
        <v>50.754589961097736</v>
      </c>
    </row>
    <row r="148" spans="1:23" x14ac:dyDescent="0.2">
      <c r="D148" t="s">
        <v>81</v>
      </c>
      <c r="E148">
        <v>0</v>
      </c>
      <c r="F148">
        <v>0</v>
      </c>
      <c r="G148">
        <v>0</v>
      </c>
      <c r="J148">
        <f>$AG$34</f>
        <v>3</v>
      </c>
      <c r="L148">
        <f>$AG$62</f>
        <v>0.55000000000000004</v>
      </c>
      <c r="M148">
        <f t="shared" si="39"/>
        <v>0.43585000000000007</v>
      </c>
      <c r="O148">
        <f>$AG$89</f>
        <v>50</v>
      </c>
      <c r="P148">
        <f t="shared" si="46"/>
        <v>0.8646283676396137</v>
      </c>
      <c r="Q148">
        <f t="shared" si="40"/>
        <v>0.99999998477002028</v>
      </c>
      <c r="R148">
        <v>1</v>
      </c>
      <c r="S148">
        <f t="shared" si="41"/>
        <v>0.86462835447134123</v>
      </c>
      <c r="T148">
        <v>30</v>
      </c>
      <c r="U148">
        <f t="shared" si="42"/>
        <v>1.7835013064061218E-2</v>
      </c>
      <c r="V148">
        <f t="shared" si="43"/>
        <v>91.25</v>
      </c>
      <c r="W148">
        <f t="shared" si="44"/>
        <v>48.82334826286759</v>
      </c>
    </row>
    <row r="149" spans="1:23" x14ac:dyDescent="0.2">
      <c r="D149" t="s">
        <v>82</v>
      </c>
      <c r="E149">
        <v>0</v>
      </c>
      <c r="F149">
        <v>0</v>
      </c>
      <c r="G149">
        <v>0</v>
      </c>
      <c r="J149">
        <f>$AG$35</f>
        <v>1.8</v>
      </c>
      <c r="L149">
        <f>$AG$63</f>
        <v>0.65</v>
      </c>
      <c r="M149">
        <f t="shared" si="39"/>
        <v>0.51535000000000009</v>
      </c>
      <c r="O149">
        <f>$AG$90</f>
        <v>50</v>
      </c>
      <c r="P149">
        <f t="shared" si="46"/>
        <v>1.0211380873184563</v>
      </c>
      <c r="Q149">
        <f t="shared" si="40"/>
        <v>0.99846618932067555</v>
      </c>
      <c r="R149">
        <v>1</v>
      </c>
      <c r="S149">
        <f t="shared" si="41"/>
        <v>1.0195718548150623</v>
      </c>
      <c r="T149">
        <v>25</v>
      </c>
      <c r="U149">
        <f t="shared" si="42"/>
        <v>2.0747950870523172E-2</v>
      </c>
      <c r="V149">
        <f t="shared" si="43"/>
        <v>91.25</v>
      </c>
      <c r="W149">
        <f t="shared" si="44"/>
        <v>47.33126292338099</v>
      </c>
    </row>
    <row r="150" spans="1:23" x14ac:dyDescent="0.2">
      <c r="D150" t="s">
        <v>83</v>
      </c>
      <c r="E150">
        <v>0</v>
      </c>
      <c r="F150">
        <v>0</v>
      </c>
      <c r="G150">
        <v>0</v>
      </c>
      <c r="J150">
        <f>$AG$36</f>
        <v>1</v>
      </c>
      <c r="L150">
        <f>$AG$64</f>
        <v>0.6</v>
      </c>
      <c r="M150">
        <f t="shared" si="39"/>
        <v>0.47559999999999997</v>
      </c>
      <c r="O150">
        <f>$AG$91</f>
        <v>50</v>
      </c>
      <c r="P150">
        <f t="shared" si="46"/>
        <v>0.94288322747903475</v>
      </c>
      <c r="Q150">
        <f t="shared" si="40"/>
        <v>0.8646647167633873</v>
      </c>
      <c r="R150">
        <v>1</v>
      </c>
      <c r="S150">
        <f t="shared" si="41"/>
        <v>0.81527785882910808</v>
      </c>
      <c r="T150">
        <v>20</v>
      </c>
      <c r="U150">
        <f t="shared" si="42"/>
        <v>1.6907223745987233E-2</v>
      </c>
      <c r="V150">
        <f t="shared" si="43"/>
        <v>91.25</v>
      </c>
      <c r="W150">
        <f t="shared" si="44"/>
        <v>30.855683336426697</v>
      </c>
    </row>
    <row r="151" spans="1:23" x14ac:dyDescent="0.2">
      <c r="A151">
        <v>6</v>
      </c>
      <c r="C151" t="s">
        <v>77</v>
      </c>
      <c r="D151" t="s">
        <v>80</v>
      </c>
      <c r="E151">
        <v>0</v>
      </c>
      <c r="F151">
        <v>0</v>
      </c>
      <c r="G151">
        <v>0</v>
      </c>
      <c r="J151">
        <f>$AH$33</f>
        <v>3.2</v>
      </c>
      <c r="L151">
        <f>$AH$61</f>
        <v>0.7</v>
      </c>
      <c r="M151">
        <f t="shared" si="39"/>
        <v>0.55510000000000004</v>
      </c>
      <c r="O151">
        <f>$AH$88</f>
        <v>22</v>
      </c>
      <c r="P151">
        <f t="shared" si="46"/>
        <v>0.50661989714547884</v>
      </c>
      <c r="Q151">
        <f t="shared" si="40"/>
        <v>0.99999999872459233</v>
      </c>
      <c r="R151">
        <v>1</v>
      </c>
      <c r="S151">
        <f t="shared" si="41"/>
        <v>0.50661989649933192</v>
      </c>
      <c r="T151">
        <v>15</v>
      </c>
      <c r="U151">
        <f t="shared" si="42"/>
        <v>1.1104454054187441E-2</v>
      </c>
      <c r="V151">
        <f t="shared" si="43"/>
        <v>91.25</v>
      </c>
      <c r="W151">
        <f t="shared" si="44"/>
        <v>15.199221486669058</v>
      </c>
    </row>
    <row r="152" spans="1:23" x14ac:dyDescent="0.2">
      <c r="D152" t="s">
        <v>81</v>
      </c>
      <c r="E152">
        <v>0</v>
      </c>
      <c r="F152">
        <v>0</v>
      </c>
      <c r="G152">
        <v>0</v>
      </c>
      <c r="J152">
        <f>$AH$34</f>
        <v>3</v>
      </c>
      <c r="L152">
        <f>$AH$62</f>
        <v>0.55000000000000004</v>
      </c>
      <c r="M152">
        <f t="shared" si="39"/>
        <v>0.43585000000000007</v>
      </c>
      <c r="O152">
        <f>$AH$89</f>
        <v>28</v>
      </c>
      <c r="P152">
        <f t="shared" si="46"/>
        <v>0.47750864762612716</v>
      </c>
      <c r="Q152">
        <f t="shared" si="40"/>
        <v>0.99999998477002028</v>
      </c>
      <c r="R152">
        <v>1</v>
      </c>
      <c r="S152">
        <f t="shared" si="41"/>
        <v>0.47750864035368012</v>
      </c>
      <c r="T152">
        <v>45</v>
      </c>
      <c r="U152">
        <f t="shared" si="42"/>
        <v>1.0557162438649187E-2</v>
      </c>
      <c r="V152">
        <f t="shared" si="43"/>
        <v>91.25</v>
      </c>
      <c r="W152">
        <f t="shared" si="44"/>
        <v>43.350348263703218</v>
      </c>
    </row>
    <row r="153" spans="1:23" x14ac:dyDescent="0.2">
      <c r="D153" t="s">
        <v>82</v>
      </c>
      <c r="E153">
        <v>0</v>
      </c>
      <c r="F153">
        <v>0</v>
      </c>
      <c r="G153">
        <v>0</v>
      </c>
      <c r="J153">
        <f>$AH$35</f>
        <v>1.8</v>
      </c>
      <c r="L153">
        <f>$AH$63</f>
        <v>0.65</v>
      </c>
      <c r="M153">
        <f t="shared" si="39"/>
        <v>0.51535000000000009</v>
      </c>
      <c r="O153">
        <f>$AH$90</f>
        <v>33</v>
      </c>
      <c r="P153">
        <f t="shared" si="46"/>
        <v>0.67586829739226073</v>
      </c>
      <c r="Q153">
        <f t="shared" si="40"/>
        <v>0.99846618932067555</v>
      </c>
      <c r="R153">
        <v>1</v>
      </c>
      <c r="S153">
        <f t="shared" si="41"/>
        <v>0.67483164337990365</v>
      </c>
      <c r="T153">
        <v>40</v>
      </c>
      <c r="U153">
        <f t="shared" si="42"/>
        <v>1.4266834895542188E-2</v>
      </c>
      <c r="V153">
        <f t="shared" si="43"/>
        <v>91.25</v>
      </c>
      <c r="W153">
        <f t="shared" si="44"/>
        <v>52.073947368728987</v>
      </c>
    </row>
    <row r="154" spans="1:23" x14ac:dyDescent="0.2">
      <c r="D154" t="s">
        <v>83</v>
      </c>
      <c r="E154">
        <v>0</v>
      </c>
      <c r="F154">
        <v>0</v>
      </c>
      <c r="G154">
        <v>0</v>
      </c>
      <c r="J154">
        <f>$AH$36</f>
        <v>1</v>
      </c>
      <c r="L154">
        <f>$AH$64</f>
        <v>0.6</v>
      </c>
      <c r="M154">
        <f t="shared" si="39"/>
        <v>0.47559999999999997</v>
      </c>
      <c r="O154">
        <f>$AH$91</f>
        <v>35</v>
      </c>
      <c r="P154">
        <f t="shared" si="46"/>
        <v>0.65531047667424769</v>
      </c>
      <c r="Q154">
        <f t="shared" si="40"/>
        <v>0.8646647167633873</v>
      </c>
      <c r="R154">
        <v>1</v>
      </c>
      <c r="S154">
        <f t="shared" si="41"/>
        <v>0.56662384770561869</v>
      </c>
      <c r="T154">
        <v>30</v>
      </c>
      <c r="U154">
        <f t="shared" si="42"/>
        <v>1.2232528336865632E-2</v>
      </c>
      <c r="V154">
        <f t="shared" si="43"/>
        <v>91.25</v>
      </c>
      <c r="W154">
        <f t="shared" si="44"/>
        <v>33.486546322169666</v>
      </c>
    </row>
    <row r="161" spans="1:24" x14ac:dyDescent="0.2">
      <c r="A161" t="s">
        <v>107</v>
      </c>
      <c r="B161" t="s">
        <v>106</v>
      </c>
      <c r="C161" t="s">
        <v>72</v>
      </c>
      <c r="D161" t="s">
        <v>80</v>
      </c>
      <c r="E161">
        <v>0</v>
      </c>
      <c r="F161">
        <v>0</v>
      </c>
      <c r="G161">
        <v>0</v>
      </c>
      <c r="J161">
        <f>$AC$37</f>
        <v>3.5</v>
      </c>
      <c r="L161">
        <f>$AC$65</f>
        <v>0.73</v>
      </c>
      <c r="M161">
        <f>(0.795 * L161) - 0.0014</f>
        <v>0.57895000000000008</v>
      </c>
      <c r="O161">
        <f>$AC$92</f>
        <v>75</v>
      </c>
      <c r="P161">
        <f>(104.7 * M161 + 0.307 * O161- 15) * POWER(O161, 0.75) * 10^-3</f>
        <v>1.7493630967264082</v>
      </c>
      <c r="Q161">
        <f>1-EXP(-2*POWER(J161,2))</f>
        <v>0.99999999997710265</v>
      </c>
      <c r="R161">
        <v>1</v>
      </c>
      <c r="S161">
        <f>P161 * Q161 * R161</f>
        <v>1.7493630966863525</v>
      </c>
      <c r="T161">
        <v>25</v>
      </c>
      <c r="U161">
        <f>(S161 * 0.0188) + 0.00158</f>
        <v>3.4468026217703424E-2</v>
      </c>
      <c r="V161">
        <f>$AC$4</f>
        <v>91.25</v>
      </c>
      <c r="W161">
        <f>T161*U161*V161</f>
        <v>78.630184809135926</v>
      </c>
      <c r="X161">
        <f>SUM(W161:W184)*10^-3</f>
        <v>1.6117205003604651</v>
      </c>
    </row>
    <row r="162" spans="1:24" x14ac:dyDescent="0.2">
      <c r="D162" t="s">
        <v>81</v>
      </c>
      <c r="E162">
        <v>0</v>
      </c>
      <c r="F162">
        <v>0</v>
      </c>
      <c r="G162">
        <v>0</v>
      </c>
      <c r="J162">
        <f>$AC$38</f>
        <v>1.5</v>
      </c>
      <c r="L162">
        <f>$AC$66</f>
        <v>0.55000000000000004</v>
      </c>
      <c r="M162">
        <f t="shared" ref="M162:M184" si="49">(0.795 * L162) - 0.0014</f>
        <v>0.43585000000000007</v>
      </c>
      <c r="O162">
        <f>$AC$93</f>
        <v>65</v>
      </c>
      <c r="P162">
        <f>(104.7 * M162 + 0.307 * O162- 15) * POWER(O162, 0.75) * 10^-3</f>
        <v>1.1580752413958724</v>
      </c>
      <c r="Q162">
        <f t="shared" ref="Q162:Q184" si="50">1-EXP(-2*POWER(J162,2))</f>
        <v>0.98889100346175773</v>
      </c>
      <c r="R162">
        <v>1</v>
      </c>
      <c r="S162">
        <f t="shared" ref="S162:S184" si="51">P162 * Q162 * R162</f>
        <v>1.1452101875481815</v>
      </c>
      <c r="T162">
        <v>20</v>
      </c>
      <c r="U162">
        <f t="shared" ref="U162:U184" si="52">(S162 * 0.0188) + 0.00158</f>
        <v>2.3109951525905816E-2</v>
      </c>
      <c r="V162">
        <f t="shared" ref="V162:V184" si="53">$AC$4</f>
        <v>91.25</v>
      </c>
      <c r="W162">
        <f t="shared" ref="W162:W184" si="54">T162*U162*V162</f>
        <v>42.175661534778108</v>
      </c>
    </row>
    <row r="163" spans="1:24" x14ac:dyDescent="0.2">
      <c r="D163" t="s">
        <v>82</v>
      </c>
      <c r="E163">
        <v>0</v>
      </c>
      <c r="F163">
        <v>0</v>
      </c>
      <c r="G163">
        <v>0</v>
      </c>
      <c r="J163">
        <f>$AC$39</f>
        <v>0.7</v>
      </c>
      <c r="L163">
        <f>$AC$67</f>
        <v>0.5</v>
      </c>
      <c r="M163">
        <f t="shared" si="49"/>
        <v>0.39610000000000001</v>
      </c>
      <c r="O163">
        <f>$AC$94</f>
        <v>65</v>
      </c>
      <c r="P163">
        <f t="shared" ref="P163:P168" si="55">(104.7 * M163 + 0.307 * O163- 15) * POWER(O163, 0.75) * 10^-3</f>
        <v>1.0628024626440558</v>
      </c>
      <c r="Q163">
        <f t="shared" si="50"/>
        <v>0.62468890114860043</v>
      </c>
      <c r="R163">
        <v>1</v>
      </c>
      <c r="S163">
        <f t="shared" si="51"/>
        <v>0.66392090252714164</v>
      </c>
      <c r="T163">
        <v>19</v>
      </c>
      <c r="U163">
        <f t="shared" si="52"/>
        <v>1.4061712967510263E-2</v>
      </c>
      <c r="V163">
        <f t="shared" si="53"/>
        <v>91.25</v>
      </c>
      <c r="W163">
        <f t="shared" si="54"/>
        <v>24.379494857420919</v>
      </c>
    </row>
    <row r="164" spans="1:24" x14ac:dyDescent="0.2">
      <c r="D164" t="s">
        <v>83</v>
      </c>
      <c r="E164">
        <v>0</v>
      </c>
      <c r="F164">
        <v>0</v>
      </c>
      <c r="G164">
        <v>0</v>
      </c>
      <c r="J164">
        <f>$AC$40</f>
        <v>1.2</v>
      </c>
      <c r="L164">
        <f>$AC$68</f>
        <v>0.76</v>
      </c>
      <c r="M164">
        <f t="shared" si="49"/>
        <v>0.60280000000000011</v>
      </c>
      <c r="O164">
        <f>$AC$95</f>
        <v>65</v>
      </c>
      <c r="P164">
        <f t="shared" si="55"/>
        <v>1.5582209121535018</v>
      </c>
      <c r="Q164">
        <f t="shared" si="50"/>
        <v>0.94386523716586623</v>
      </c>
      <c r="R164">
        <v>1</v>
      </c>
      <c r="S164">
        <f t="shared" si="51"/>
        <v>1.4707505508065775</v>
      </c>
      <c r="T164">
        <v>25</v>
      </c>
      <c r="U164">
        <f t="shared" si="52"/>
        <v>2.9230110355163659E-2</v>
      </c>
      <c r="V164">
        <f t="shared" si="53"/>
        <v>91.25</v>
      </c>
      <c r="W164">
        <f t="shared" si="54"/>
        <v>66.6811892477171</v>
      </c>
    </row>
    <row r="165" spans="1:24" x14ac:dyDescent="0.2">
      <c r="A165">
        <v>2</v>
      </c>
      <c r="C165" t="s">
        <v>73</v>
      </c>
      <c r="D165" t="s">
        <v>80</v>
      </c>
      <c r="E165">
        <v>0</v>
      </c>
      <c r="F165">
        <v>0</v>
      </c>
      <c r="G165">
        <v>0</v>
      </c>
      <c r="J165">
        <f>$AD$37</f>
        <v>3.5</v>
      </c>
      <c r="L165">
        <f>$AD$65</f>
        <v>0.73</v>
      </c>
      <c r="M165">
        <f t="shared" si="49"/>
        <v>0.57895000000000008</v>
      </c>
      <c r="O165">
        <f>$AD$92</f>
        <v>60</v>
      </c>
      <c r="P165">
        <f t="shared" si="55"/>
        <v>1.3805052881061199</v>
      </c>
      <c r="Q165">
        <f t="shared" si="50"/>
        <v>0.99999999997710265</v>
      </c>
      <c r="R165">
        <v>1</v>
      </c>
      <c r="S165">
        <f t="shared" si="51"/>
        <v>1.3805052880745101</v>
      </c>
      <c r="T165">
        <v>50</v>
      </c>
      <c r="U165">
        <f t="shared" si="52"/>
        <v>2.7533499415800793E-2</v>
      </c>
      <c r="V165">
        <f t="shared" si="53"/>
        <v>91.25</v>
      </c>
      <c r="W165">
        <f t="shared" si="54"/>
        <v>125.62159108459112</v>
      </c>
    </row>
    <row r="166" spans="1:24" x14ac:dyDescent="0.2">
      <c r="D166" t="s">
        <v>81</v>
      </c>
      <c r="E166">
        <v>0</v>
      </c>
      <c r="F166">
        <v>0</v>
      </c>
      <c r="G166">
        <v>0</v>
      </c>
      <c r="J166">
        <f>$AD$38</f>
        <v>1.5</v>
      </c>
      <c r="L166">
        <f>$AD$66</f>
        <v>0.55000000000000004</v>
      </c>
      <c r="M166">
        <f t="shared" si="49"/>
        <v>0.43585000000000007</v>
      </c>
      <c r="O166">
        <f>$AD$93</f>
        <v>55</v>
      </c>
      <c r="P166">
        <f t="shared" si="55"/>
        <v>0.95969823125361531</v>
      </c>
      <c r="Q166">
        <f t="shared" si="50"/>
        <v>0.98889100346175773</v>
      </c>
      <c r="R166">
        <v>1</v>
      </c>
      <c r="S166">
        <f t="shared" si="51"/>
        <v>0.94903694692486162</v>
      </c>
      <c r="T166">
        <v>60</v>
      </c>
      <c r="U166">
        <f t="shared" si="52"/>
        <v>1.9421894602187399E-2</v>
      </c>
      <c r="V166">
        <f t="shared" si="53"/>
        <v>91.25</v>
      </c>
      <c r="W166">
        <f t="shared" si="54"/>
        <v>106.33487294697601</v>
      </c>
    </row>
    <row r="167" spans="1:24" x14ac:dyDescent="0.2">
      <c r="D167" t="s">
        <v>82</v>
      </c>
      <c r="E167">
        <v>0</v>
      </c>
      <c r="F167">
        <v>0</v>
      </c>
      <c r="G167">
        <v>0</v>
      </c>
      <c r="J167">
        <f>$AD$39</f>
        <v>0.7</v>
      </c>
      <c r="L167">
        <f>$AD$67</f>
        <v>0.5</v>
      </c>
      <c r="M167">
        <f t="shared" si="49"/>
        <v>0.39610000000000001</v>
      </c>
      <c r="O167">
        <f>$AD$94</f>
        <v>48</v>
      </c>
      <c r="P167">
        <f t="shared" si="55"/>
        <v>0.75146539652530986</v>
      </c>
      <c r="Q167">
        <f t="shared" si="50"/>
        <v>0.62468890114860043</v>
      </c>
      <c r="R167">
        <v>1</v>
      </c>
      <c r="S167">
        <f t="shared" si="51"/>
        <v>0.46943209280659309</v>
      </c>
      <c r="T167">
        <v>55</v>
      </c>
      <c r="U167">
        <f t="shared" si="52"/>
        <v>1.0405323344763951E-2</v>
      </c>
      <c r="V167">
        <f t="shared" si="53"/>
        <v>91.25</v>
      </c>
      <c r="W167">
        <f t="shared" si="54"/>
        <v>52.221716536534082</v>
      </c>
    </row>
    <row r="168" spans="1:24" x14ac:dyDescent="0.2">
      <c r="D168" t="s">
        <v>83</v>
      </c>
      <c r="E168">
        <v>0</v>
      </c>
      <c r="F168">
        <v>0</v>
      </c>
      <c r="G168">
        <v>0</v>
      </c>
      <c r="J168">
        <f>$AD$40</f>
        <v>1.2</v>
      </c>
      <c r="L168">
        <f>$AD$68</f>
        <v>0.76</v>
      </c>
      <c r="M168">
        <f t="shared" si="49"/>
        <v>0.60280000000000011</v>
      </c>
      <c r="O168">
        <f>$AD$95</f>
        <v>48</v>
      </c>
      <c r="P168">
        <f t="shared" si="55"/>
        <v>1.1461208299494401</v>
      </c>
      <c r="Q168">
        <f t="shared" si="50"/>
        <v>0.94386523716586623</v>
      </c>
      <c r="R168">
        <v>1</v>
      </c>
      <c r="S168">
        <f t="shared" si="51"/>
        <v>1.0817836089809678</v>
      </c>
      <c r="T168">
        <v>55</v>
      </c>
      <c r="U168">
        <f t="shared" si="52"/>
        <v>2.1917531848842198E-2</v>
      </c>
      <c r="V168">
        <f t="shared" si="53"/>
        <v>91.25</v>
      </c>
      <c r="W168">
        <f t="shared" si="54"/>
        <v>109.9986129663768</v>
      </c>
    </row>
    <row r="169" spans="1:24" x14ac:dyDescent="0.2">
      <c r="A169">
        <v>3</v>
      </c>
      <c r="C169" t="s">
        <v>74</v>
      </c>
      <c r="D169" t="s">
        <v>80</v>
      </c>
      <c r="E169">
        <v>92</v>
      </c>
      <c r="F169">
        <v>87</v>
      </c>
      <c r="G169">
        <f>(E169/100*MIN(F169,100)/100)</f>
        <v>0.80040000000000011</v>
      </c>
      <c r="H169">
        <f>$AC$3</f>
        <v>1.3</v>
      </c>
      <c r="J169">
        <f>$AE$37</f>
        <v>3.5</v>
      </c>
      <c r="L169">
        <f>$AE$65</f>
        <v>0.73</v>
      </c>
      <c r="M169">
        <f t="shared" si="49"/>
        <v>0.57895000000000008</v>
      </c>
      <c r="O169">
        <f>$AE$92</f>
        <v>50</v>
      </c>
      <c r="P169">
        <f>(104.7 * M169 + 0.307 * O169- 15) * POWER(O169, 0.75) * 10^-3</f>
        <v>1.1463458630615306</v>
      </c>
      <c r="Q169">
        <f t="shared" si="50"/>
        <v>0.99999999997710265</v>
      </c>
      <c r="R169">
        <f>(G169 * H169) + (1 - G169)</f>
        <v>1.2401200000000001</v>
      </c>
      <c r="S169">
        <f t="shared" si="51"/>
        <v>1.4216064316673145</v>
      </c>
      <c r="T169">
        <v>60</v>
      </c>
      <c r="U169">
        <f t="shared" si="52"/>
        <v>2.8306200915345515E-2</v>
      </c>
      <c r="V169">
        <f t="shared" si="53"/>
        <v>91.25</v>
      </c>
      <c r="W169">
        <f t="shared" si="54"/>
        <v>154.97645001151668</v>
      </c>
    </row>
    <row r="170" spans="1:24" x14ac:dyDescent="0.2">
      <c r="D170" t="s">
        <v>81</v>
      </c>
      <c r="E170">
        <v>0</v>
      </c>
      <c r="F170">
        <v>0</v>
      </c>
      <c r="G170">
        <f>(E170/100*MIN(F170,100)/100)</f>
        <v>0</v>
      </c>
      <c r="J170">
        <f>$AE$38</f>
        <v>1.5</v>
      </c>
      <c r="L170">
        <f>$AE$66</f>
        <v>0.55000000000000004</v>
      </c>
      <c r="M170">
        <f t="shared" si="49"/>
        <v>0.43585000000000007</v>
      </c>
      <c r="O170">
        <f>$AE$93</f>
        <v>45</v>
      </c>
      <c r="P170">
        <f t="shared" ref="P170:P184" si="56">(104.7 * M170 + 0.307 * O170- 15) * POWER(O170, 0.75) * 10^-3</f>
        <v>0.77226516609487061</v>
      </c>
      <c r="Q170">
        <f t="shared" si="50"/>
        <v>0.98889100346175773</v>
      </c>
      <c r="R170">
        <f t="shared" ref="R170:R176" si="57">(G170 * H170) + (1 - G170)</f>
        <v>1</v>
      </c>
      <c r="S170">
        <f t="shared" si="51"/>
        <v>0.76368607503811758</v>
      </c>
      <c r="T170">
        <v>70</v>
      </c>
      <c r="U170">
        <f t="shared" si="52"/>
        <v>1.5937298210716613E-2</v>
      </c>
      <c r="V170">
        <f t="shared" si="53"/>
        <v>91.25</v>
      </c>
      <c r="W170">
        <f t="shared" si="54"/>
        <v>101.79949232095237</v>
      </c>
    </row>
    <row r="171" spans="1:24" x14ac:dyDescent="0.2">
      <c r="D171" t="s">
        <v>82</v>
      </c>
      <c r="E171">
        <v>0</v>
      </c>
      <c r="F171">
        <v>0</v>
      </c>
      <c r="G171">
        <f t="shared" ref="G171:G173" si="58">(E171/100*MIN(F171,100)/100)</f>
        <v>0</v>
      </c>
      <c r="J171">
        <f>$AE$39</f>
        <v>0.7</v>
      </c>
      <c r="L171">
        <f>$AE$67</f>
        <v>0.7</v>
      </c>
      <c r="M171">
        <f t="shared" si="49"/>
        <v>0.55510000000000004</v>
      </c>
      <c r="O171">
        <f>$AE$94</f>
        <v>40</v>
      </c>
      <c r="P171">
        <f t="shared" si="56"/>
        <v>0.88114358489687972</v>
      </c>
      <c r="Q171">
        <f t="shared" si="50"/>
        <v>0.62468890114860043</v>
      </c>
      <c r="R171">
        <f t="shared" si="57"/>
        <v>1</v>
      </c>
      <c r="S171">
        <f t="shared" si="51"/>
        <v>0.55044061780337028</v>
      </c>
      <c r="T171">
        <v>60</v>
      </c>
      <c r="U171">
        <f t="shared" si="52"/>
        <v>1.1928283614703361E-2</v>
      </c>
      <c r="V171">
        <f t="shared" si="53"/>
        <v>91.25</v>
      </c>
      <c r="W171">
        <f t="shared" si="54"/>
        <v>65.3073527905009</v>
      </c>
    </row>
    <row r="172" spans="1:24" x14ac:dyDescent="0.2">
      <c r="D172" t="s">
        <v>83</v>
      </c>
      <c r="E172">
        <v>0</v>
      </c>
      <c r="F172">
        <v>0</v>
      </c>
      <c r="G172">
        <f t="shared" si="58"/>
        <v>0</v>
      </c>
      <c r="J172">
        <f>$AE$40</f>
        <v>1.2</v>
      </c>
      <c r="L172">
        <f>$AE$68</f>
        <v>0.76</v>
      </c>
      <c r="M172">
        <f t="shared" si="49"/>
        <v>0.60280000000000011</v>
      </c>
      <c r="O172">
        <f>$AE$95</f>
        <v>45</v>
      </c>
      <c r="P172">
        <f t="shared" si="56"/>
        <v>1.0759635566592238</v>
      </c>
      <c r="Q172">
        <f t="shared" si="50"/>
        <v>0.94386523716586623</v>
      </c>
      <c r="R172">
        <f t="shared" si="57"/>
        <v>1</v>
      </c>
      <c r="S172">
        <f t="shared" si="51"/>
        <v>1.0155645975879872</v>
      </c>
      <c r="T172">
        <v>50</v>
      </c>
      <c r="U172">
        <f t="shared" si="52"/>
        <v>2.0672614434654162E-2</v>
      </c>
      <c r="V172">
        <f t="shared" si="53"/>
        <v>91.25</v>
      </c>
      <c r="W172">
        <f t="shared" si="54"/>
        <v>94.318803358109619</v>
      </c>
    </row>
    <row r="173" spans="1:24" x14ac:dyDescent="0.2">
      <c r="A173">
        <v>4</v>
      </c>
      <c r="C173" t="s">
        <v>75</v>
      </c>
      <c r="D173" t="s">
        <v>80</v>
      </c>
      <c r="E173">
        <v>95</v>
      </c>
      <c r="F173">
        <v>88</v>
      </c>
      <c r="G173">
        <f t="shared" si="58"/>
        <v>0.83599999999999997</v>
      </c>
      <c r="H173">
        <f>$AC$3</f>
        <v>1.3</v>
      </c>
      <c r="J173">
        <f>$AF$37</f>
        <v>3.5</v>
      </c>
      <c r="L173">
        <f>$AF$65</f>
        <v>0.73</v>
      </c>
      <c r="M173">
        <f t="shared" si="49"/>
        <v>0.57895000000000008</v>
      </c>
      <c r="O173">
        <f>$AF$92</f>
        <v>55</v>
      </c>
      <c r="P173">
        <f t="shared" si="56"/>
        <v>1.2622908518455234</v>
      </c>
      <c r="Q173">
        <f t="shared" si="50"/>
        <v>0.99999999997710265</v>
      </c>
      <c r="R173">
        <f t="shared" si="57"/>
        <v>1.2507999999999999</v>
      </c>
      <c r="S173">
        <f t="shared" si="51"/>
        <v>1.5788733974522284</v>
      </c>
      <c r="T173">
        <v>40</v>
      </c>
      <c r="U173">
        <f t="shared" si="52"/>
        <v>3.1262819872101895E-2</v>
      </c>
      <c r="V173">
        <f t="shared" si="53"/>
        <v>91.25</v>
      </c>
      <c r="W173">
        <f t="shared" si="54"/>
        <v>114.10929253317191</v>
      </c>
    </row>
    <row r="174" spans="1:24" x14ac:dyDescent="0.2">
      <c r="D174" t="s">
        <v>81</v>
      </c>
      <c r="E174">
        <v>0</v>
      </c>
      <c r="F174">
        <v>0</v>
      </c>
      <c r="G174">
        <v>0</v>
      </c>
      <c r="J174">
        <f>$AF$38</f>
        <v>1.5</v>
      </c>
      <c r="L174">
        <f>$AF$66</f>
        <v>0.55000000000000004</v>
      </c>
      <c r="M174">
        <f t="shared" si="49"/>
        <v>0.43585000000000007</v>
      </c>
      <c r="O174">
        <f>$AF$93</f>
        <v>50</v>
      </c>
      <c r="P174">
        <f t="shared" si="56"/>
        <v>0.8646283676396137</v>
      </c>
      <c r="Q174">
        <f t="shared" si="50"/>
        <v>0.98889100346175773</v>
      </c>
      <c r="R174">
        <f t="shared" si="57"/>
        <v>1</v>
      </c>
      <c r="S174">
        <f t="shared" si="51"/>
        <v>0.85502321409663917</v>
      </c>
      <c r="T174">
        <v>45</v>
      </c>
      <c r="U174">
        <f t="shared" si="52"/>
        <v>1.7654436425016819E-2</v>
      </c>
      <c r="V174">
        <f t="shared" si="53"/>
        <v>91.25</v>
      </c>
      <c r="W174">
        <f t="shared" si="54"/>
        <v>72.493529570225306</v>
      </c>
    </row>
    <row r="175" spans="1:24" x14ac:dyDescent="0.2">
      <c r="D175" t="s">
        <v>82</v>
      </c>
      <c r="E175">
        <v>0</v>
      </c>
      <c r="F175">
        <v>0</v>
      </c>
      <c r="G175">
        <v>0</v>
      </c>
      <c r="J175">
        <f>$AF$39</f>
        <v>0.7</v>
      </c>
      <c r="L175">
        <f>$AF$67</f>
        <v>0.7</v>
      </c>
      <c r="M175">
        <f t="shared" si="49"/>
        <v>0.55510000000000004</v>
      </c>
      <c r="O175">
        <f>$AF$94</f>
        <v>45</v>
      </c>
      <c r="P175">
        <f t="shared" si="56"/>
        <v>0.98919258792655118</v>
      </c>
      <c r="Q175">
        <f t="shared" si="50"/>
        <v>0.62468890114860043</v>
      </c>
      <c r="R175">
        <f t="shared" si="57"/>
        <v>1</v>
      </c>
      <c r="S175">
        <f t="shared" si="51"/>
        <v>0.61793763077617758</v>
      </c>
      <c r="T175">
        <v>40</v>
      </c>
      <c r="U175">
        <f t="shared" si="52"/>
        <v>1.3197227458592139E-2</v>
      </c>
      <c r="V175">
        <f t="shared" si="53"/>
        <v>91.25</v>
      </c>
      <c r="W175">
        <f t="shared" si="54"/>
        <v>48.169880223861313</v>
      </c>
    </row>
    <row r="176" spans="1:24" x14ac:dyDescent="0.2">
      <c r="D176" t="s">
        <v>83</v>
      </c>
      <c r="E176">
        <v>0</v>
      </c>
      <c r="F176">
        <v>0</v>
      </c>
      <c r="G176">
        <v>0</v>
      </c>
      <c r="J176">
        <f>$AF$40</f>
        <v>1.2</v>
      </c>
      <c r="L176">
        <f>$AF$68</f>
        <v>0.76</v>
      </c>
      <c r="M176">
        <f t="shared" si="49"/>
        <v>0.60280000000000011</v>
      </c>
      <c r="O176">
        <f>$AF$95</f>
        <v>50</v>
      </c>
      <c r="P176">
        <f t="shared" si="56"/>
        <v>1.1932987789651837</v>
      </c>
      <c r="Q176">
        <f t="shared" si="50"/>
        <v>0.94386523716586623</v>
      </c>
      <c r="R176">
        <f t="shared" si="57"/>
        <v>1</v>
      </c>
      <c r="S176">
        <f t="shared" si="51"/>
        <v>1.1263132350177116</v>
      </c>
      <c r="T176">
        <v>35</v>
      </c>
      <c r="U176">
        <f t="shared" si="52"/>
        <v>2.275468881833298E-2</v>
      </c>
      <c r="V176">
        <f t="shared" si="53"/>
        <v>91.25</v>
      </c>
      <c r="W176">
        <f t="shared" si="54"/>
        <v>72.67278741355095</v>
      </c>
    </row>
    <row r="177" spans="1:23" x14ac:dyDescent="0.2">
      <c r="A177">
        <v>5</v>
      </c>
      <c r="C177" t="s">
        <v>76</v>
      </c>
      <c r="D177" t="s">
        <v>80</v>
      </c>
      <c r="E177">
        <v>0</v>
      </c>
      <c r="F177">
        <v>0</v>
      </c>
      <c r="G177">
        <v>0</v>
      </c>
      <c r="J177">
        <f>$AG$37</f>
        <v>3.5</v>
      </c>
      <c r="L177">
        <f>$AG$65</f>
        <v>0.73</v>
      </c>
      <c r="M177">
        <f t="shared" si="49"/>
        <v>0.57895000000000008</v>
      </c>
      <c r="O177">
        <f>$AG$92</f>
        <v>55</v>
      </c>
      <c r="P177">
        <f t="shared" si="56"/>
        <v>1.2622908518455234</v>
      </c>
      <c r="Q177">
        <f t="shared" si="50"/>
        <v>0.99999999997710265</v>
      </c>
      <c r="R177">
        <v>1</v>
      </c>
      <c r="S177">
        <f t="shared" si="51"/>
        <v>1.2622908518166203</v>
      </c>
      <c r="T177">
        <v>25</v>
      </c>
      <c r="U177">
        <f t="shared" si="52"/>
        <v>2.5311068014152463E-2</v>
      </c>
      <c r="V177">
        <f t="shared" si="53"/>
        <v>91.25</v>
      </c>
      <c r="W177">
        <f t="shared" si="54"/>
        <v>57.740873907285312</v>
      </c>
    </row>
    <row r="178" spans="1:23" x14ac:dyDescent="0.2">
      <c r="D178" t="s">
        <v>81</v>
      </c>
      <c r="E178">
        <v>0</v>
      </c>
      <c r="F178">
        <v>0</v>
      </c>
      <c r="G178">
        <v>0</v>
      </c>
      <c r="J178">
        <f>$AG$38</f>
        <v>1.5</v>
      </c>
      <c r="L178">
        <f>$AG$66</f>
        <v>0.55000000000000004</v>
      </c>
      <c r="M178">
        <f t="shared" si="49"/>
        <v>0.43585000000000007</v>
      </c>
      <c r="O178">
        <f>$AG$93</f>
        <v>50</v>
      </c>
      <c r="P178">
        <f t="shared" si="56"/>
        <v>0.8646283676396137</v>
      </c>
      <c r="Q178">
        <f t="shared" si="50"/>
        <v>0.98889100346175773</v>
      </c>
      <c r="R178">
        <v>1</v>
      </c>
      <c r="S178">
        <f t="shared" si="51"/>
        <v>0.85502321409663917</v>
      </c>
      <c r="T178">
        <v>30</v>
      </c>
      <c r="U178">
        <f t="shared" si="52"/>
        <v>1.7654436425016819E-2</v>
      </c>
      <c r="V178">
        <f t="shared" si="53"/>
        <v>91.25</v>
      </c>
      <c r="W178">
        <f t="shared" si="54"/>
        <v>48.329019713483547</v>
      </c>
    </row>
    <row r="179" spans="1:23" x14ac:dyDescent="0.2">
      <c r="D179" t="s">
        <v>82</v>
      </c>
      <c r="E179">
        <v>0</v>
      </c>
      <c r="F179">
        <v>0</v>
      </c>
      <c r="G179">
        <v>0</v>
      </c>
      <c r="J179">
        <f>$AG$39</f>
        <v>0.7</v>
      </c>
      <c r="L179">
        <f>$AG$67</f>
        <v>0.5</v>
      </c>
      <c r="M179">
        <f t="shared" si="49"/>
        <v>0.39610000000000001</v>
      </c>
      <c r="O179">
        <f>$AG$94</f>
        <v>45</v>
      </c>
      <c r="P179">
        <f t="shared" si="56"/>
        <v>0.69995602548431024</v>
      </c>
      <c r="Q179">
        <f t="shared" si="50"/>
        <v>0.62468890114860043</v>
      </c>
      <c r="R179">
        <v>1</v>
      </c>
      <c r="S179">
        <f t="shared" si="51"/>
        <v>0.43725476041213551</v>
      </c>
      <c r="T179">
        <v>25</v>
      </c>
      <c r="U179">
        <f t="shared" si="52"/>
        <v>9.800389495748147E-3</v>
      </c>
      <c r="V179">
        <f t="shared" si="53"/>
        <v>91.25</v>
      </c>
      <c r="W179">
        <f t="shared" si="54"/>
        <v>22.357138537175462</v>
      </c>
    </row>
    <row r="180" spans="1:23" x14ac:dyDescent="0.2">
      <c r="D180" t="s">
        <v>83</v>
      </c>
      <c r="E180">
        <v>0</v>
      </c>
      <c r="F180">
        <v>0</v>
      </c>
      <c r="G180">
        <v>0</v>
      </c>
      <c r="J180">
        <f>$AG$40</f>
        <v>1.2</v>
      </c>
      <c r="L180">
        <f>$AG$68</f>
        <v>0.76</v>
      </c>
      <c r="M180">
        <f t="shared" si="49"/>
        <v>0.60280000000000011</v>
      </c>
      <c r="O180">
        <f>$AG$95</f>
        <v>50</v>
      </c>
      <c r="P180">
        <f t="shared" si="56"/>
        <v>1.1932987789651837</v>
      </c>
      <c r="Q180">
        <f t="shared" si="50"/>
        <v>0.94386523716586623</v>
      </c>
      <c r="R180">
        <v>1</v>
      </c>
      <c r="S180">
        <f t="shared" si="51"/>
        <v>1.1263132350177116</v>
      </c>
      <c r="T180">
        <v>20</v>
      </c>
      <c r="U180">
        <f t="shared" si="52"/>
        <v>2.275468881833298E-2</v>
      </c>
      <c r="V180">
        <f t="shared" si="53"/>
        <v>91.25</v>
      </c>
      <c r="W180">
        <f t="shared" si="54"/>
        <v>41.527307093457686</v>
      </c>
    </row>
    <row r="181" spans="1:23" x14ac:dyDescent="0.2">
      <c r="A181">
        <v>6</v>
      </c>
      <c r="C181" t="s">
        <v>77</v>
      </c>
      <c r="D181" t="s">
        <v>80</v>
      </c>
      <c r="E181">
        <v>0</v>
      </c>
      <c r="F181">
        <v>0</v>
      </c>
      <c r="G181">
        <v>0</v>
      </c>
      <c r="J181">
        <f>$AH$37</f>
        <v>3.5</v>
      </c>
      <c r="L181">
        <f>$AH$65</f>
        <v>0.73</v>
      </c>
      <c r="M181">
        <f t="shared" si="49"/>
        <v>0.57895000000000008</v>
      </c>
      <c r="O181">
        <f>$AH$92</f>
        <v>30</v>
      </c>
      <c r="P181">
        <f t="shared" si="56"/>
        <v>0.70279395559006042</v>
      </c>
      <c r="Q181">
        <f t="shared" si="50"/>
        <v>0.99999999997710265</v>
      </c>
      <c r="R181">
        <v>1</v>
      </c>
      <c r="S181">
        <f t="shared" si="51"/>
        <v>0.70279395557396829</v>
      </c>
      <c r="T181">
        <v>15</v>
      </c>
      <c r="U181">
        <f t="shared" si="52"/>
        <v>1.4792526364790604E-2</v>
      </c>
      <c r="V181">
        <f t="shared" si="53"/>
        <v>91.25</v>
      </c>
      <c r="W181">
        <f t="shared" si="54"/>
        <v>20.24727046180714</v>
      </c>
    </row>
    <row r="182" spans="1:23" x14ac:dyDescent="0.2">
      <c r="D182" t="s">
        <v>81</v>
      </c>
      <c r="E182">
        <v>0</v>
      </c>
      <c r="F182">
        <v>0</v>
      </c>
      <c r="G182">
        <v>0</v>
      </c>
      <c r="J182">
        <f>$AH$38</f>
        <v>1.5</v>
      </c>
      <c r="L182">
        <f>$AH$66</f>
        <v>0.55000000000000004</v>
      </c>
      <c r="M182">
        <f t="shared" si="49"/>
        <v>0.43585000000000007</v>
      </c>
      <c r="O182">
        <f>$AH$93</f>
        <v>30</v>
      </c>
      <c r="P182">
        <f t="shared" si="56"/>
        <v>0.5107382310873998</v>
      </c>
      <c r="Q182">
        <f t="shared" si="50"/>
        <v>0.98889100346175773</v>
      </c>
      <c r="R182">
        <v>1</v>
      </c>
      <c r="S182">
        <f t="shared" si="51"/>
        <v>0.50506444184630195</v>
      </c>
      <c r="T182">
        <v>45</v>
      </c>
      <c r="U182">
        <f t="shared" si="52"/>
        <v>1.1075211506710477E-2</v>
      </c>
      <c r="V182">
        <f t="shared" si="53"/>
        <v>91.25</v>
      </c>
      <c r="W182">
        <f t="shared" si="54"/>
        <v>45.477587249429895</v>
      </c>
    </row>
    <row r="183" spans="1:23" x14ac:dyDescent="0.2">
      <c r="D183" t="s">
        <v>82</v>
      </c>
      <c r="E183">
        <v>0</v>
      </c>
      <c r="F183">
        <v>0</v>
      </c>
      <c r="G183">
        <v>0</v>
      </c>
      <c r="J183">
        <f>$AH$39</f>
        <v>0.7</v>
      </c>
      <c r="L183">
        <f>$AH$67</f>
        <v>0.7</v>
      </c>
      <c r="M183">
        <f t="shared" si="49"/>
        <v>0.55510000000000004</v>
      </c>
      <c r="O183">
        <f>$AH$94</f>
        <v>10</v>
      </c>
      <c r="P183">
        <f t="shared" si="56"/>
        <v>0.25973966598977283</v>
      </c>
      <c r="Q183">
        <f t="shared" si="50"/>
        <v>0.62468890114860043</v>
      </c>
      <c r="R183">
        <v>1</v>
      </c>
      <c r="S183">
        <f t="shared" si="51"/>
        <v>0.1622564865318557</v>
      </c>
      <c r="T183">
        <v>40</v>
      </c>
      <c r="U183">
        <f t="shared" si="52"/>
        <v>4.6304219467988876E-3</v>
      </c>
      <c r="V183">
        <f t="shared" si="53"/>
        <v>91.25</v>
      </c>
      <c r="W183">
        <f t="shared" si="54"/>
        <v>16.901040105815941</v>
      </c>
    </row>
    <row r="184" spans="1:23" x14ac:dyDescent="0.2">
      <c r="D184" t="s">
        <v>83</v>
      </c>
      <c r="E184">
        <v>0</v>
      </c>
      <c r="F184">
        <v>0</v>
      </c>
      <c r="G184">
        <v>0</v>
      </c>
      <c r="J184">
        <f>$AH$40</f>
        <v>1.2</v>
      </c>
      <c r="L184">
        <f>$AH$68</f>
        <v>0.76</v>
      </c>
      <c r="M184">
        <f t="shared" si="49"/>
        <v>0.60280000000000011</v>
      </c>
      <c r="O184">
        <f>$AH$95</f>
        <v>20</v>
      </c>
      <c r="P184">
        <f t="shared" si="56"/>
        <v>0.51309470831906745</v>
      </c>
      <c r="Q184">
        <f t="shared" si="50"/>
        <v>0.94386523716586623</v>
      </c>
      <c r="R184">
        <v>1</v>
      </c>
      <c r="S184">
        <f t="shared" si="51"/>
        <v>0.48429225855612756</v>
      </c>
      <c r="T184">
        <v>30</v>
      </c>
      <c r="U184">
        <f t="shared" si="52"/>
        <v>1.0684694460855198E-2</v>
      </c>
      <c r="V184">
        <f t="shared" si="53"/>
        <v>91.25</v>
      </c>
      <c r="W184">
        <f t="shared" si="54"/>
        <v>29.249351086591101</v>
      </c>
    </row>
    <row r="201" spans="1:24" x14ac:dyDescent="0.2">
      <c r="A201" t="s">
        <v>108</v>
      </c>
      <c r="B201" t="s">
        <v>85</v>
      </c>
      <c r="C201" t="s">
        <v>72</v>
      </c>
      <c r="D201" t="s">
        <v>80</v>
      </c>
      <c r="E201">
        <v>0</v>
      </c>
      <c r="F201">
        <v>0</v>
      </c>
      <c r="G201">
        <v>0</v>
      </c>
      <c r="J201">
        <f>$AC$17</f>
        <v>2.9</v>
      </c>
      <c r="L201">
        <f>$AC$45</f>
        <v>0.75</v>
      </c>
      <c r="M201">
        <f>(0.795 * L201) - 0.0014</f>
        <v>0.5948500000000001</v>
      </c>
      <c r="O201">
        <f>$AC$72</f>
        <v>75</v>
      </c>
      <c r="P201">
        <f>(104.7 * M201 + 0.307 * O201- 15) * POWER(O201, 0.75) * 10^-3</f>
        <v>1.7917898456122741</v>
      </c>
      <c r="Q201">
        <f>1-EXP(-2*POWER(J201,2))</f>
        <v>0.9999999504359468</v>
      </c>
      <c r="R201">
        <v>1</v>
      </c>
      <c r="S201">
        <f>P201 * Q201 * R201</f>
        <v>1.7917897568039067</v>
      </c>
      <c r="T201">
        <v>50</v>
      </c>
      <c r="U201">
        <f>(S201 * 0.0188) + 0.00158</f>
        <v>3.5265647427913445E-2</v>
      </c>
      <c r="V201">
        <f>$AC$4</f>
        <v>91.25</v>
      </c>
      <c r="W201">
        <f>T201*U201*V201</f>
        <v>160.89951638985508</v>
      </c>
      <c r="X201">
        <f>SUM(W201:W224)*10^-3</f>
        <v>3.7710363373989564</v>
      </c>
    </row>
    <row r="202" spans="1:24" x14ac:dyDescent="0.2">
      <c r="D202" t="s">
        <v>81</v>
      </c>
      <c r="E202">
        <v>0</v>
      </c>
      <c r="F202">
        <v>0</v>
      </c>
      <c r="G202">
        <v>0</v>
      </c>
      <c r="J202">
        <f>$AC$18</f>
        <v>2.5</v>
      </c>
      <c r="L202">
        <f>$AC$46</f>
        <v>0.61</v>
      </c>
      <c r="M202">
        <f t="shared" ref="M202:M224" si="59">(0.795 * L202) - 0.0014</f>
        <v>0.48354999999999998</v>
      </c>
      <c r="O202">
        <f>$AC$73</f>
        <v>75</v>
      </c>
      <c r="P202">
        <f>(104.7 * M202 + 0.307 * O202- 15) * POWER(O202, 0.75) * 10^-3</f>
        <v>1.4948026034112167</v>
      </c>
      <c r="Q202">
        <f t="shared" ref="Q202:Q224" si="60">1-EXP(-2*POWER(J202,2))</f>
        <v>0.99999627334682795</v>
      </c>
      <c r="R202">
        <v>1</v>
      </c>
      <c r="S202">
        <f t="shared" ref="S202:S224" si="61">P202 * Q202 * R202</f>
        <v>1.494797032800353</v>
      </c>
      <c r="T202">
        <v>40</v>
      </c>
      <c r="U202">
        <f t="shared" ref="U202:U224" si="62">(S202 * 0.0188) + 0.00158</f>
        <v>2.9682184216646638E-2</v>
      </c>
      <c r="V202">
        <f t="shared" ref="V202:V224" si="63">$AC$4</f>
        <v>91.25</v>
      </c>
      <c r="W202">
        <f t="shared" ref="W202:W224" si="64">T202*U202*V202</f>
        <v>108.33997239076024</v>
      </c>
    </row>
    <row r="203" spans="1:24" x14ac:dyDescent="0.2">
      <c r="D203" t="s">
        <v>82</v>
      </c>
      <c r="E203">
        <v>0</v>
      </c>
      <c r="F203">
        <v>0</v>
      </c>
      <c r="G203">
        <v>0</v>
      </c>
      <c r="J203">
        <f>$AC$19</f>
        <v>1.6</v>
      </c>
      <c r="L203">
        <f>$AC$47</f>
        <v>0.64</v>
      </c>
      <c r="M203">
        <f t="shared" si="59"/>
        <v>0.50740000000000007</v>
      </c>
      <c r="O203">
        <f>$AC$74</f>
        <v>69</v>
      </c>
      <c r="P203">
        <f t="shared" ref="P203:P208" si="65">(104.7 * M203 + 0.307 * O203- 15) * POWER(O203, 0.75) * 10^-3</f>
        <v>1.4198696820048529</v>
      </c>
      <c r="Q203">
        <f t="shared" si="60"/>
        <v>0.99402397710499402</v>
      </c>
      <c r="R203">
        <v>1</v>
      </c>
      <c r="S203">
        <f t="shared" si="61"/>
        <v>1.4113845082772669</v>
      </c>
      <c r="T203">
        <v>38</v>
      </c>
      <c r="U203">
        <f t="shared" si="62"/>
        <v>2.811402875561262E-2</v>
      </c>
      <c r="V203">
        <f t="shared" si="63"/>
        <v>91.25</v>
      </c>
      <c r="W203">
        <f t="shared" si="64"/>
        <v>97.485394710086752</v>
      </c>
    </row>
    <row r="204" spans="1:24" x14ac:dyDescent="0.2">
      <c r="D204" t="s">
        <v>83</v>
      </c>
      <c r="E204">
        <v>0</v>
      </c>
      <c r="F204">
        <v>0</v>
      </c>
      <c r="G204">
        <v>0</v>
      </c>
      <c r="I204" s="2">
        <v>1.9</v>
      </c>
      <c r="J204" s="2">
        <v>1.9</v>
      </c>
      <c r="L204">
        <f>$AC$48</f>
        <v>0.72</v>
      </c>
      <c r="M204">
        <f t="shared" si="59"/>
        <v>0.57100000000000006</v>
      </c>
      <c r="O204">
        <f>$AC$75</f>
        <v>69</v>
      </c>
      <c r="P204">
        <f t="shared" si="65"/>
        <v>1.5792888783210146</v>
      </c>
      <c r="Q204">
        <f t="shared" si="60"/>
        <v>0.99926819758111951</v>
      </c>
      <c r="R204">
        <v>1</v>
      </c>
      <c r="S204">
        <f t="shared" si="61"/>
        <v>1.5781331508997483</v>
      </c>
      <c r="T204">
        <v>50</v>
      </c>
      <c r="U204">
        <f t="shared" si="62"/>
        <v>3.124890323691527E-2</v>
      </c>
      <c r="V204">
        <f t="shared" si="63"/>
        <v>91.25</v>
      </c>
      <c r="W204">
        <f t="shared" si="64"/>
        <v>142.57312101842592</v>
      </c>
    </row>
    <row r="205" spans="1:24" x14ac:dyDescent="0.2">
      <c r="A205">
        <v>2</v>
      </c>
      <c r="C205" t="s">
        <v>73</v>
      </c>
      <c r="D205" t="s">
        <v>80</v>
      </c>
      <c r="E205">
        <v>0</v>
      </c>
      <c r="F205">
        <v>0</v>
      </c>
      <c r="G205">
        <v>0</v>
      </c>
      <c r="J205">
        <f>$AD$17</f>
        <v>2.9</v>
      </c>
      <c r="L205">
        <f>$AD$45</f>
        <v>0.75</v>
      </c>
      <c r="M205">
        <f t="shared" si="59"/>
        <v>0.5948500000000001</v>
      </c>
      <c r="O205">
        <f>$AD$72</f>
        <v>62</v>
      </c>
      <c r="P205">
        <f t="shared" si="65"/>
        <v>1.4652245899459331</v>
      </c>
      <c r="Q205">
        <f t="shared" si="60"/>
        <v>0.9999999504359468</v>
      </c>
      <c r="R205">
        <v>1</v>
      </c>
      <c r="S205">
        <f t="shared" si="61"/>
        <v>1.4652245173234635</v>
      </c>
      <c r="T205">
        <v>100</v>
      </c>
      <c r="U205">
        <f t="shared" si="62"/>
        <v>2.9126220925681116E-2</v>
      </c>
      <c r="V205">
        <f t="shared" si="63"/>
        <v>91.25</v>
      </c>
      <c r="W205">
        <f t="shared" si="64"/>
        <v>265.77676594684021</v>
      </c>
    </row>
    <row r="206" spans="1:24" x14ac:dyDescent="0.2">
      <c r="D206" t="s">
        <v>81</v>
      </c>
      <c r="E206">
        <v>0</v>
      </c>
      <c r="F206">
        <v>0</v>
      </c>
      <c r="G206">
        <v>0</v>
      </c>
      <c r="J206">
        <f>$AD$18</f>
        <v>2.5</v>
      </c>
      <c r="L206">
        <f>$AD$46</f>
        <v>0.61</v>
      </c>
      <c r="M206">
        <f t="shared" si="59"/>
        <v>0.48354999999999998</v>
      </c>
      <c r="O206">
        <f>$AD$73</f>
        <v>55</v>
      </c>
      <c r="P206">
        <f t="shared" si="65"/>
        <v>1.0605624381175847</v>
      </c>
      <c r="Q206">
        <f t="shared" si="60"/>
        <v>0.99999627334682795</v>
      </c>
      <c r="R206">
        <v>1</v>
      </c>
      <c r="S206">
        <f t="shared" si="61"/>
        <v>1.0605584857692105</v>
      </c>
      <c r="T206">
        <v>120</v>
      </c>
      <c r="U206">
        <f t="shared" si="62"/>
        <v>2.1518499532461158E-2</v>
      </c>
      <c r="V206">
        <f t="shared" si="63"/>
        <v>91.25</v>
      </c>
      <c r="W206">
        <f t="shared" si="64"/>
        <v>235.6275698804497</v>
      </c>
    </row>
    <row r="207" spans="1:24" x14ac:dyDescent="0.2">
      <c r="D207" t="s">
        <v>82</v>
      </c>
      <c r="E207">
        <v>0</v>
      </c>
      <c r="F207">
        <v>0</v>
      </c>
      <c r="G207">
        <v>0</v>
      </c>
      <c r="J207">
        <f>$AD$19</f>
        <v>1.6</v>
      </c>
      <c r="L207">
        <f>$AD$47</f>
        <v>0.64</v>
      </c>
      <c r="M207">
        <f t="shared" si="59"/>
        <v>0.50740000000000007</v>
      </c>
      <c r="O207">
        <f>$AD$74</f>
        <v>55</v>
      </c>
      <c r="P207">
        <f t="shared" si="65"/>
        <v>1.1109945415495692</v>
      </c>
      <c r="Q207">
        <f t="shared" si="60"/>
        <v>0.99402397710499402</v>
      </c>
      <c r="R207">
        <v>1</v>
      </c>
      <c r="S207">
        <f t="shared" si="61"/>
        <v>1.1043552127330423</v>
      </c>
      <c r="T207">
        <v>115</v>
      </c>
      <c r="U207">
        <f t="shared" si="62"/>
        <v>2.2341877999381195E-2</v>
      </c>
      <c r="V207">
        <f t="shared" si="63"/>
        <v>91.25</v>
      </c>
      <c r="W207">
        <f t="shared" si="64"/>
        <v>234.4500822560064</v>
      </c>
    </row>
    <row r="208" spans="1:24" x14ac:dyDescent="0.2">
      <c r="D208" t="s">
        <v>83</v>
      </c>
      <c r="E208">
        <v>0</v>
      </c>
      <c r="F208">
        <v>0</v>
      </c>
      <c r="G208">
        <v>0</v>
      </c>
      <c r="I208" s="2">
        <v>1.8</v>
      </c>
      <c r="J208" s="2">
        <v>1.8</v>
      </c>
      <c r="L208">
        <f>$AD$48</f>
        <v>0.72</v>
      </c>
      <c r="M208">
        <f t="shared" si="59"/>
        <v>0.57100000000000006</v>
      </c>
      <c r="O208">
        <f>$AD$75</f>
        <v>55</v>
      </c>
      <c r="P208">
        <f t="shared" si="65"/>
        <v>1.2454801507015281</v>
      </c>
      <c r="Q208">
        <f t="shared" si="60"/>
        <v>0.99846618932067555</v>
      </c>
      <c r="R208">
        <v>1</v>
      </c>
      <c r="S208">
        <f t="shared" si="61"/>
        <v>1.2435698199454954</v>
      </c>
      <c r="T208">
        <v>110</v>
      </c>
      <c r="U208">
        <f t="shared" si="62"/>
        <v>2.4959112614975316E-2</v>
      </c>
      <c r="V208">
        <f t="shared" si="63"/>
        <v>91.25</v>
      </c>
      <c r="W208">
        <f t="shared" si="64"/>
        <v>250.52709287281473</v>
      </c>
    </row>
    <row r="209" spans="1:23" x14ac:dyDescent="0.2">
      <c r="A209">
        <v>3</v>
      </c>
      <c r="C209" t="s">
        <v>74</v>
      </c>
      <c r="D209" t="s">
        <v>80</v>
      </c>
      <c r="E209">
        <v>90</v>
      </c>
      <c r="F209">
        <v>85</v>
      </c>
      <c r="G209">
        <f>(E209/100*MIN(F209,100)/100)</f>
        <v>0.76500000000000001</v>
      </c>
      <c r="H209">
        <f>$AC$3</f>
        <v>1.3</v>
      </c>
      <c r="J209">
        <f>$AE$17</f>
        <v>2.9</v>
      </c>
      <c r="L209">
        <f>$AE$45</f>
        <v>0.75</v>
      </c>
      <c r="M209">
        <f t="shared" si="59"/>
        <v>0.5948500000000001</v>
      </c>
      <c r="O209">
        <f>$AE$72</f>
        <v>44</v>
      </c>
      <c r="P209">
        <f>(104.7 * M209 + 0.307 * O209- 15) * POWER(O209, 0.75) * 10^-3</f>
        <v>1.0385156413271623</v>
      </c>
      <c r="Q209">
        <f t="shared" si="60"/>
        <v>0.9999999504359468</v>
      </c>
      <c r="R209">
        <f>(G209 * H209) + (1 - G209)</f>
        <v>1.2295</v>
      </c>
      <c r="S209">
        <f t="shared" si="61"/>
        <v>1.2768549177256379</v>
      </c>
      <c r="T209">
        <v>120</v>
      </c>
      <c r="U209">
        <f t="shared" si="62"/>
        <v>2.5584872453241994E-2</v>
      </c>
      <c r="V209">
        <f t="shared" si="63"/>
        <v>91.25</v>
      </c>
      <c r="W209">
        <f t="shared" si="64"/>
        <v>280.15435336299987</v>
      </c>
    </row>
    <row r="210" spans="1:23" x14ac:dyDescent="0.2">
      <c r="D210" t="s">
        <v>81</v>
      </c>
      <c r="E210">
        <v>0</v>
      </c>
      <c r="F210">
        <v>0</v>
      </c>
      <c r="G210">
        <f>(E210/100*MIN(F210,100)/100)</f>
        <v>0</v>
      </c>
      <c r="J210">
        <f>$AE$18</f>
        <v>2.5</v>
      </c>
      <c r="L210">
        <f>$AE$46</f>
        <v>0.61</v>
      </c>
      <c r="M210">
        <f t="shared" si="59"/>
        <v>0.48354999999999998</v>
      </c>
      <c r="O210">
        <f>$AE$73</f>
        <v>42</v>
      </c>
      <c r="P210">
        <f t="shared" ref="P210:P224" si="66">(104.7 * M210 + 0.307 * O210- 15) * POWER(O210, 0.75) * 10^-3</f>
        <v>0.80052120768394575</v>
      </c>
      <c r="Q210">
        <f t="shared" si="60"/>
        <v>0.99999627334682795</v>
      </c>
      <c r="R210">
        <f t="shared" ref="R210:R216" si="67">(G210 * H210) + (1 - G210)</f>
        <v>1</v>
      </c>
      <c r="S210">
        <f t="shared" si="61"/>
        <v>0.80051822441904785</v>
      </c>
      <c r="T210">
        <v>130</v>
      </c>
      <c r="U210">
        <f t="shared" si="62"/>
        <v>1.6629742619078101E-2</v>
      </c>
      <c r="V210">
        <f t="shared" si="63"/>
        <v>91.25</v>
      </c>
      <c r="W210">
        <f t="shared" si="64"/>
        <v>197.27032181881395</v>
      </c>
    </row>
    <row r="211" spans="1:23" x14ac:dyDescent="0.2">
      <c r="D211" t="s">
        <v>82</v>
      </c>
      <c r="E211">
        <v>0</v>
      </c>
      <c r="F211">
        <v>0</v>
      </c>
      <c r="G211">
        <f t="shared" ref="G211:G213" si="68">(E211/100*MIN(F211,100)/100)</f>
        <v>0</v>
      </c>
      <c r="J211">
        <f>$AE$19</f>
        <v>1.6</v>
      </c>
      <c r="L211">
        <f>$AE$47</f>
        <v>0.64</v>
      </c>
      <c r="M211">
        <f t="shared" si="59"/>
        <v>0.50740000000000007</v>
      </c>
      <c r="O211">
        <f>$AE$74</f>
        <v>43</v>
      </c>
      <c r="P211">
        <f t="shared" si="66"/>
        <v>0.86186034677094148</v>
      </c>
      <c r="Q211">
        <f t="shared" si="60"/>
        <v>0.99402397710499402</v>
      </c>
      <c r="R211">
        <f t="shared" si="67"/>
        <v>1</v>
      </c>
      <c r="S211">
        <f t="shared" si="61"/>
        <v>0.85670984960634056</v>
      </c>
      <c r="T211">
        <v>120</v>
      </c>
      <c r="U211">
        <f t="shared" si="62"/>
        <v>1.7686145172599206E-2</v>
      </c>
      <c r="V211">
        <f t="shared" si="63"/>
        <v>91.25</v>
      </c>
      <c r="W211">
        <f t="shared" si="64"/>
        <v>193.66328963996131</v>
      </c>
    </row>
    <row r="212" spans="1:23" x14ac:dyDescent="0.2">
      <c r="D212" t="s">
        <v>83</v>
      </c>
      <c r="E212">
        <v>0</v>
      </c>
      <c r="F212">
        <v>0</v>
      </c>
      <c r="G212">
        <f t="shared" si="68"/>
        <v>0</v>
      </c>
      <c r="I212" s="2">
        <v>1.6</v>
      </c>
      <c r="J212" s="2">
        <v>1.6</v>
      </c>
      <c r="L212">
        <f>$AE$48</f>
        <v>0.72</v>
      </c>
      <c r="M212">
        <f t="shared" si="59"/>
        <v>0.57100000000000006</v>
      </c>
      <c r="O212">
        <f>$AE$75</f>
        <v>45</v>
      </c>
      <c r="P212">
        <f t="shared" si="66"/>
        <v>1.0181162441707754</v>
      </c>
      <c r="Q212">
        <f t="shared" si="60"/>
        <v>0.99402397710499402</v>
      </c>
      <c r="R212">
        <f t="shared" si="67"/>
        <v>1</v>
      </c>
      <c r="S212">
        <f t="shared" si="61"/>
        <v>1.0120319581858332</v>
      </c>
      <c r="T212">
        <v>110</v>
      </c>
      <c r="U212">
        <f t="shared" si="62"/>
        <v>2.0606200813893666E-2</v>
      </c>
      <c r="V212">
        <f t="shared" si="63"/>
        <v>91.25</v>
      </c>
      <c r="W212">
        <f t="shared" si="64"/>
        <v>206.83474066945769</v>
      </c>
    </row>
    <row r="213" spans="1:23" x14ac:dyDescent="0.2">
      <c r="A213">
        <v>4</v>
      </c>
      <c r="C213" t="s">
        <v>75</v>
      </c>
      <c r="D213" t="s">
        <v>80</v>
      </c>
      <c r="E213">
        <v>95</v>
      </c>
      <c r="F213">
        <v>88</v>
      </c>
      <c r="G213">
        <f t="shared" si="68"/>
        <v>0.83599999999999997</v>
      </c>
      <c r="H213">
        <f>$AC$3</f>
        <v>1.3</v>
      </c>
      <c r="J213">
        <f>$AF$17</f>
        <v>2.9</v>
      </c>
      <c r="L213">
        <f>$AF$45</f>
        <v>0.75</v>
      </c>
      <c r="M213">
        <f t="shared" si="59"/>
        <v>0.5948500000000001</v>
      </c>
      <c r="O213">
        <f>$AF$72</f>
        <v>54</v>
      </c>
      <c r="P213">
        <f t="shared" si="66"/>
        <v>1.2720847291262878</v>
      </c>
      <c r="Q213">
        <f t="shared" si="60"/>
        <v>0.9999999504359468</v>
      </c>
      <c r="R213">
        <f t="shared" si="67"/>
        <v>1.2507999999999999</v>
      </c>
      <c r="S213">
        <f t="shared" si="61"/>
        <v>1.5911235003286268</v>
      </c>
      <c r="T213">
        <v>80</v>
      </c>
      <c r="U213">
        <f t="shared" si="62"/>
        <v>3.1493121806178186E-2</v>
      </c>
      <c r="V213">
        <f t="shared" si="63"/>
        <v>91.25</v>
      </c>
      <c r="W213">
        <f t="shared" si="64"/>
        <v>229.89978918510076</v>
      </c>
    </row>
    <row r="214" spans="1:23" x14ac:dyDescent="0.2">
      <c r="D214" t="s">
        <v>81</v>
      </c>
      <c r="E214">
        <v>0</v>
      </c>
      <c r="F214">
        <v>0</v>
      </c>
      <c r="G214">
        <v>0</v>
      </c>
      <c r="J214">
        <f>$AF$18</f>
        <v>2.5</v>
      </c>
      <c r="L214">
        <f>$AF$46</f>
        <v>0.61</v>
      </c>
      <c r="M214">
        <f t="shared" si="59"/>
        <v>0.48354999999999998</v>
      </c>
      <c r="O214">
        <f>$AF$73</f>
        <v>49</v>
      </c>
      <c r="P214">
        <f t="shared" si="66"/>
        <v>0.93843421889903578</v>
      </c>
      <c r="Q214">
        <f t="shared" si="60"/>
        <v>0.99999627334682795</v>
      </c>
      <c r="R214">
        <f t="shared" si="67"/>
        <v>1</v>
      </c>
      <c r="S214">
        <f t="shared" si="61"/>
        <v>0.93843072168017716</v>
      </c>
      <c r="T214">
        <v>90</v>
      </c>
      <c r="U214">
        <f t="shared" si="62"/>
        <v>1.9222497567587333E-2</v>
      </c>
      <c r="V214">
        <f t="shared" si="63"/>
        <v>91.25</v>
      </c>
      <c r="W214">
        <f t="shared" si="64"/>
        <v>157.86476127381098</v>
      </c>
    </row>
    <row r="215" spans="1:23" x14ac:dyDescent="0.2">
      <c r="D215" t="s">
        <v>82</v>
      </c>
      <c r="E215">
        <v>0</v>
      </c>
      <c r="F215">
        <v>0</v>
      </c>
      <c r="G215">
        <v>0</v>
      </c>
      <c r="J215">
        <f>$AF$19</f>
        <v>1.6</v>
      </c>
      <c r="L215">
        <f>$AF$47</f>
        <v>0.64</v>
      </c>
      <c r="M215">
        <f t="shared" si="59"/>
        <v>0.50740000000000007</v>
      </c>
      <c r="O215">
        <f>$AF$74</f>
        <v>50</v>
      </c>
      <c r="P215">
        <f t="shared" si="66"/>
        <v>1.0054871153505722</v>
      </c>
      <c r="Q215">
        <f t="shared" si="60"/>
        <v>0.99402397710499402</v>
      </c>
      <c r="R215">
        <f t="shared" si="67"/>
        <v>1</v>
      </c>
      <c r="S215">
        <f t="shared" si="61"/>
        <v>0.99947830132860371</v>
      </c>
      <c r="T215">
        <v>80</v>
      </c>
      <c r="U215">
        <f t="shared" si="62"/>
        <v>2.0370192064977751E-2</v>
      </c>
      <c r="V215">
        <f t="shared" si="63"/>
        <v>91.25</v>
      </c>
      <c r="W215">
        <f t="shared" si="64"/>
        <v>148.70240207433758</v>
      </c>
    </row>
    <row r="216" spans="1:23" x14ac:dyDescent="0.2">
      <c r="D216" t="s">
        <v>83</v>
      </c>
      <c r="E216">
        <v>0</v>
      </c>
      <c r="F216">
        <v>0</v>
      </c>
      <c r="G216">
        <v>0</v>
      </c>
      <c r="I216" s="2">
        <v>1.9</v>
      </c>
      <c r="J216" s="2">
        <v>1.9</v>
      </c>
      <c r="L216">
        <f>$AF$48</f>
        <v>0.72</v>
      </c>
      <c r="M216">
        <f t="shared" si="59"/>
        <v>0.57100000000000006</v>
      </c>
      <c r="O216">
        <f>$AF$75</f>
        <v>50</v>
      </c>
      <c r="P216">
        <f t="shared" si="66"/>
        <v>1.1306948910936463</v>
      </c>
      <c r="Q216">
        <f t="shared" si="60"/>
        <v>0.99926819758111951</v>
      </c>
      <c r="R216">
        <f t="shared" si="67"/>
        <v>1</v>
      </c>
      <c r="S216">
        <f t="shared" si="61"/>
        <v>1.1298674458373281</v>
      </c>
      <c r="T216">
        <v>70</v>
      </c>
      <c r="U216">
        <f t="shared" si="62"/>
        <v>2.2821507981741773E-2</v>
      </c>
      <c r="V216">
        <f t="shared" si="63"/>
        <v>91.25</v>
      </c>
      <c r="W216">
        <f t="shared" si="64"/>
        <v>145.77238223337557</v>
      </c>
    </row>
    <row r="217" spans="1:23" x14ac:dyDescent="0.2">
      <c r="A217">
        <v>5</v>
      </c>
      <c r="C217" t="s">
        <v>76</v>
      </c>
      <c r="D217" t="s">
        <v>80</v>
      </c>
      <c r="E217">
        <v>0</v>
      </c>
      <c r="F217">
        <v>0</v>
      </c>
      <c r="G217">
        <v>0</v>
      </c>
      <c r="J217">
        <f>$AG$17</f>
        <v>2.9</v>
      </c>
      <c r="L217">
        <f>$AG$45</f>
        <v>0.75</v>
      </c>
      <c r="M217">
        <f t="shared" si="59"/>
        <v>0.5948500000000001</v>
      </c>
      <c r="O217">
        <f>$AG$72</f>
        <v>56</v>
      </c>
      <c r="P217">
        <f t="shared" si="66"/>
        <v>1.3198285488795851</v>
      </c>
      <c r="Q217">
        <f t="shared" si="60"/>
        <v>0.9999999504359468</v>
      </c>
      <c r="R217">
        <v>1</v>
      </c>
      <c r="S217">
        <f t="shared" si="61"/>
        <v>1.3198284834635328</v>
      </c>
      <c r="T217">
        <v>50</v>
      </c>
      <c r="U217">
        <f t="shared" si="62"/>
        <v>2.6392775489114419E-2</v>
      </c>
      <c r="V217">
        <f t="shared" si="63"/>
        <v>91.25</v>
      </c>
      <c r="W217">
        <f t="shared" si="64"/>
        <v>120.41703816908453</v>
      </c>
    </row>
    <row r="218" spans="1:23" x14ac:dyDescent="0.2">
      <c r="D218" t="s">
        <v>81</v>
      </c>
      <c r="E218">
        <v>0</v>
      </c>
      <c r="F218">
        <v>0</v>
      </c>
      <c r="G218">
        <v>0</v>
      </c>
      <c r="J218">
        <f>$AG$18</f>
        <v>2.5</v>
      </c>
      <c r="L218">
        <f>$AG$46</f>
        <v>0.61</v>
      </c>
      <c r="M218">
        <f t="shared" si="59"/>
        <v>0.48354999999999998</v>
      </c>
      <c r="O218">
        <f>$AG$73</f>
        <v>51</v>
      </c>
      <c r="P218">
        <f t="shared" si="66"/>
        <v>0.97873546256970145</v>
      </c>
      <c r="Q218">
        <f t="shared" si="60"/>
        <v>0.99999627334682795</v>
      </c>
      <c r="R218">
        <v>1</v>
      </c>
      <c r="S218">
        <f t="shared" si="61"/>
        <v>0.97873181516208529</v>
      </c>
      <c r="T218">
        <v>55</v>
      </c>
      <c r="U218">
        <f t="shared" si="62"/>
        <v>1.9980158125047207E-2</v>
      </c>
      <c r="V218">
        <f t="shared" si="63"/>
        <v>91.25</v>
      </c>
      <c r="W218">
        <f t="shared" si="64"/>
        <v>100.27541859008066</v>
      </c>
    </row>
    <row r="219" spans="1:23" x14ac:dyDescent="0.2">
      <c r="D219" t="s">
        <v>82</v>
      </c>
      <c r="E219">
        <v>0</v>
      </c>
      <c r="F219">
        <v>0</v>
      </c>
      <c r="G219">
        <v>0</v>
      </c>
      <c r="J219">
        <f>$AG$19</f>
        <v>1.6</v>
      </c>
      <c r="L219">
        <f>$AG$47</f>
        <v>0.64</v>
      </c>
      <c r="M219">
        <f t="shared" si="59"/>
        <v>0.50740000000000007</v>
      </c>
      <c r="O219">
        <f>$AG$74</f>
        <v>50</v>
      </c>
      <c r="P219">
        <f t="shared" si="66"/>
        <v>1.0054871153505722</v>
      </c>
      <c r="Q219">
        <f t="shared" si="60"/>
        <v>0.99402397710499402</v>
      </c>
      <c r="R219">
        <v>1</v>
      </c>
      <c r="S219">
        <f t="shared" si="61"/>
        <v>0.99947830132860371</v>
      </c>
      <c r="T219">
        <v>45</v>
      </c>
      <c r="U219">
        <f t="shared" si="62"/>
        <v>2.0370192064977751E-2</v>
      </c>
      <c r="V219">
        <f t="shared" si="63"/>
        <v>91.25</v>
      </c>
      <c r="W219">
        <f t="shared" si="64"/>
        <v>83.645101166814896</v>
      </c>
    </row>
    <row r="220" spans="1:23" x14ac:dyDescent="0.2">
      <c r="D220" t="s">
        <v>83</v>
      </c>
      <c r="E220">
        <v>0</v>
      </c>
      <c r="F220">
        <v>0</v>
      </c>
      <c r="G220">
        <v>0</v>
      </c>
      <c r="I220" s="2">
        <v>1.8</v>
      </c>
      <c r="J220" s="2">
        <v>1.8</v>
      </c>
      <c r="L220">
        <f>$AG$48</f>
        <v>0.72</v>
      </c>
      <c r="M220">
        <f t="shared" si="59"/>
        <v>0.57100000000000006</v>
      </c>
      <c r="O220">
        <f>$AG$75</f>
        <v>51</v>
      </c>
      <c r="P220">
        <f t="shared" si="66"/>
        <v>1.1534721617679149</v>
      </c>
      <c r="Q220">
        <f t="shared" si="60"/>
        <v>0.99846618932067555</v>
      </c>
      <c r="R220">
        <v>1</v>
      </c>
      <c r="S220">
        <f t="shared" si="61"/>
        <v>1.1517029538478918</v>
      </c>
      <c r="T220">
        <v>40</v>
      </c>
      <c r="U220">
        <f t="shared" si="62"/>
        <v>2.3232015532340368E-2</v>
      </c>
      <c r="V220">
        <f t="shared" si="63"/>
        <v>91.25</v>
      </c>
      <c r="W220">
        <f t="shared" si="64"/>
        <v>84.796856693042344</v>
      </c>
    </row>
    <row r="221" spans="1:23" x14ac:dyDescent="0.2">
      <c r="A221">
        <v>6</v>
      </c>
      <c r="C221" t="s">
        <v>77</v>
      </c>
      <c r="D221" t="s">
        <v>80</v>
      </c>
      <c r="E221">
        <v>0</v>
      </c>
      <c r="F221">
        <v>0</v>
      </c>
      <c r="G221">
        <v>0</v>
      </c>
      <c r="J221">
        <f>$AH$17</f>
        <v>2.9</v>
      </c>
      <c r="L221">
        <f>$AH$45</f>
        <v>0.75</v>
      </c>
      <c r="M221">
        <f t="shared" si="59"/>
        <v>0.5948500000000001</v>
      </c>
      <c r="O221">
        <f>$AH$72</f>
        <v>20</v>
      </c>
      <c r="P221">
        <f t="shared" si="66"/>
        <v>0.5052226861752882</v>
      </c>
      <c r="Q221">
        <f t="shared" si="60"/>
        <v>0.9999999504359468</v>
      </c>
      <c r="R221">
        <v>1</v>
      </c>
      <c r="S221">
        <f t="shared" si="61"/>
        <v>0.50522266113440406</v>
      </c>
      <c r="T221">
        <v>30</v>
      </c>
      <c r="U221">
        <f t="shared" si="62"/>
        <v>1.1078186029326796E-2</v>
      </c>
      <c r="V221">
        <f t="shared" si="63"/>
        <v>91.25</v>
      </c>
      <c r="W221">
        <f t="shared" si="64"/>
        <v>30.326534255282102</v>
      </c>
    </row>
    <row r="222" spans="1:23" x14ac:dyDescent="0.2">
      <c r="D222" t="s">
        <v>81</v>
      </c>
      <c r="E222">
        <v>0</v>
      </c>
      <c r="F222">
        <v>0</v>
      </c>
      <c r="G222">
        <v>0</v>
      </c>
      <c r="J222">
        <f>$AH$18</f>
        <v>2.5</v>
      </c>
      <c r="L222">
        <f>$AH$46</f>
        <v>0.61</v>
      </c>
      <c r="M222">
        <f t="shared" si="59"/>
        <v>0.48354999999999998</v>
      </c>
      <c r="O222">
        <f>$AH$73</f>
        <v>27</v>
      </c>
      <c r="P222">
        <f t="shared" si="66"/>
        <v>0.52017847077168489</v>
      </c>
      <c r="Q222">
        <f t="shared" si="60"/>
        <v>0.99999627334682795</v>
      </c>
      <c r="R222">
        <v>1</v>
      </c>
      <c r="S222">
        <f t="shared" si="61"/>
        <v>0.52017653224693672</v>
      </c>
      <c r="T222">
        <v>90</v>
      </c>
      <c r="U222">
        <f t="shared" si="62"/>
        <v>1.135931880624241E-2</v>
      </c>
      <c r="V222">
        <f t="shared" si="63"/>
        <v>91.25</v>
      </c>
      <c r="W222">
        <f t="shared" si="64"/>
        <v>93.288405696265798</v>
      </c>
    </row>
    <row r="223" spans="1:23" x14ac:dyDescent="0.2">
      <c r="D223" t="s">
        <v>82</v>
      </c>
      <c r="E223">
        <v>0</v>
      </c>
      <c r="F223">
        <v>0</v>
      </c>
      <c r="G223">
        <v>0</v>
      </c>
      <c r="J223">
        <f>$AH$19</f>
        <v>1.6</v>
      </c>
      <c r="L223">
        <f>$AH$47</f>
        <v>0.64</v>
      </c>
      <c r="M223">
        <f t="shared" si="59"/>
        <v>0.50740000000000007</v>
      </c>
      <c r="O223">
        <f>$AH$74</f>
        <v>32</v>
      </c>
      <c r="P223">
        <f t="shared" si="66"/>
        <v>0.64511931548462409</v>
      </c>
      <c r="Q223">
        <f t="shared" si="60"/>
        <v>0.99402397710499402</v>
      </c>
      <c r="R223">
        <v>1</v>
      </c>
      <c r="S223">
        <f t="shared" si="61"/>
        <v>0.64126406768527744</v>
      </c>
      <c r="T223">
        <v>80</v>
      </c>
      <c r="U223">
        <f t="shared" si="62"/>
        <v>1.3635764472483216E-2</v>
      </c>
      <c r="V223">
        <f t="shared" si="63"/>
        <v>91.25</v>
      </c>
      <c r="W223">
        <f t="shared" si="64"/>
        <v>99.54108064912748</v>
      </c>
    </row>
    <row r="224" spans="1:23" x14ac:dyDescent="0.2">
      <c r="D224" t="s">
        <v>83</v>
      </c>
      <c r="E224">
        <v>0</v>
      </c>
      <c r="F224">
        <v>0</v>
      </c>
      <c r="G224">
        <v>0</v>
      </c>
      <c r="I224" s="2">
        <v>1.6</v>
      </c>
      <c r="J224" s="2">
        <v>1.6</v>
      </c>
      <c r="L224">
        <f>$AH$48</f>
        <v>0.72</v>
      </c>
      <c r="M224">
        <f t="shared" si="59"/>
        <v>0.57100000000000006</v>
      </c>
      <c r="O224">
        <f>$AH$75</f>
        <v>34</v>
      </c>
      <c r="P224">
        <f t="shared" si="66"/>
        <v>0.77753323213623582</v>
      </c>
      <c r="Q224">
        <f t="shared" si="60"/>
        <v>0.99402397710499402</v>
      </c>
      <c r="R224">
        <v>1</v>
      </c>
      <c r="S224">
        <f t="shared" si="61"/>
        <v>0.77288667573936165</v>
      </c>
      <c r="T224">
        <v>70</v>
      </c>
      <c r="U224">
        <f t="shared" si="62"/>
        <v>1.6110269503900002E-2</v>
      </c>
      <c r="V224">
        <f t="shared" si="63"/>
        <v>91.25</v>
      </c>
      <c r="W224">
        <f t="shared" si="64"/>
        <v>102.90434645616126</v>
      </c>
    </row>
    <row r="231" spans="1:24" x14ac:dyDescent="0.2">
      <c r="A231" t="s">
        <v>99</v>
      </c>
      <c r="B231" t="s">
        <v>98</v>
      </c>
      <c r="C231" t="s">
        <v>72</v>
      </c>
      <c r="D231" t="s">
        <v>80</v>
      </c>
      <c r="E231">
        <v>0</v>
      </c>
      <c r="F231">
        <v>0</v>
      </c>
      <c r="G231">
        <v>0</v>
      </c>
      <c r="J231">
        <f>$AC$21</f>
        <v>1.5</v>
      </c>
      <c r="K231" s="2">
        <v>0.5</v>
      </c>
      <c r="L231" s="2">
        <v>0.5</v>
      </c>
      <c r="M231">
        <f>(0.795 * L231) - 0.0014</f>
        <v>0.39610000000000001</v>
      </c>
      <c r="O231">
        <f>$AC$76</f>
        <v>58</v>
      </c>
      <c r="P231">
        <f>(104.7 * M231 + 0.307 * O231- 15) * POWER(O231, 0.75) * 10^-3</f>
        <v>0.93058437094840885</v>
      </c>
      <c r="Q231">
        <f>1-EXP(-2*POWER(J231,2))</f>
        <v>0.98889100346175773</v>
      </c>
      <c r="R231">
        <v>1</v>
      </c>
      <c r="S231">
        <f>P231 * Q231 * R231</f>
        <v>0.92024651239300059</v>
      </c>
      <c r="T231">
        <v>25</v>
      </c>
      <c r="U231">
        <f>(S231 * 0.0188) + 0.00158</f>
        <v>1.8880634432988413E-2</v>
      </c>
      <c r="V231">
        <f>$AC$4</f>
        <v>91.25</v>
      </c>
      <c r="W231">
        <f>T231*U231*V231</f>
        <v>43.071447300254817</v>
      </c>
      <c r="X231">
        <f>SUM(W231:W254)*10^-3</f>
        <v>1.3279574495523139</v>
      </c>
    </row>
    <row r="232" spans="1:24" x14ac:dyDescent="0.2">
      <c r="D232" t="s">
        <v>81</v>
      </c>
      <c r="E232">
        <v>0</v>
      </c>
      <c r="F232">
        <v>0</v>
      </c>
      <c r="G232">
        <v>0</v>
      </c>
      <c r="J232">
        <f>$AC$22</f>
        <v>2</v>
      </c>
      <c r="K232" s="2">
        <v>0.51</v>
      </c>
      <c r="L232" s="2">
        <v>0.51</v>
      </c>
      <c r="M232">
        <f t="shared" ref="M232:M254" si="69">(0.795 * L232) - 0.0014</f>
        <v>0.40405000000000002</v>
      </c>
      <c r="O232">
        <f>$AC$77</f>
        <v>61</v>
      </c>
      <c r="P232">
        <f>(104.7 * M232 + 0.307 * O232- 15) * POWER(O232, 0.75) * 10^-3</f>
        <v>1.0047270997102939</v>
      </c>
      <c r="Q232">
        <f t="shared" ref="Q232:Q254" si="70">1-EXP(-2*POWER(J232,2))</f>
        <v>0.99966453737209748</v>
      </c>
      <c r="R232">
        <v>1</v>
      </c>
      <c r="S232">
        <f t="shared" ref="S232:S254" si="71">P232 * Q232 * R232</f>
        <v>1.0043900513171002</v>
      </c>
      <c r="T232">
        <v>20</v>
      </c>
      <c r="U232">
        <f t="shared" ref="U232:U254" si="72">(S232 * 0.0188) + 0.00158</f>
        <v>2.0462532964761488E-2</v>
      </c>
      <c r="V232">
        <f t="shared" ref="V232:V254" si="73">$AC$4</f>
        <v>91.25</v>
      </c>
      <c r="W232">
        <f t="shared" ref="W232:W254" si="74">T232*U232*V232</f>
        <v>37.344122660689713</v>
      </c>
    </row>
    <row r="233" spans="1:24" x14ac:dyDescent="0.2">
      <c r="D233" t="s">
        <v>82</v>
      </c>
      <c r="E233">
        <v>0</v>
      </c>
      <c r="F233">
        <v>0</v>
      </c>
      <c r="G233">
        <v>0</v>
      </c>
      <c r="J233">
        <f>$AC$23</f>
        <v>2.2000000000000002</v>
      </c>
      <c r="K233" s="2">
        <v>0.52</v>
      </c>
      <c r="L233" s="2">
        <v>0.52</v>
      </c>
      <c r="M233">
        <f t="shared" si="69"/>
        <v>0.41200000000000003</v>
      </c>
      <c r="O233">
        <f>$AC$78</f>
        <v>63</v>
      </c>
      <c r="P233">
        <f t="shared" ref="P233:P238" si="75">(104.7 * M233 + 0.307 * O233- 15) * POWER(O233, 0.75) * 10^-3</f>
        <v>1.0616768308982532</v>
      </c>
      <c r="Q233">
        <f t="shared" si="70"/>
        <v>0.99993747849622516</v>
      </c>
      <c r="R233">
        <v>1</v>
      </c>
      <c r="S233">
        <f t="shared" si="71"/>
        <v>1.0616104532662625</v>
      </c>
      <c r="T233">
        <v>19</v>
      </c>
      <c r="U233">
        <f t="shared" si="72"/>
        <v>2.1538276521405737E-2</v>
      </c>
      <c r="V233">
        <f t="shared" si="73"/>
        <v>91.25</v>
      </c>
      <c r="W233">
        <f t="shared" si="74"/>
        <v>37.341986918987196</v>
      </c>
    </row>
    <row r="234" spans="1:24" x14ac:dyDescent="0.2">
      <c r="D234" t="s">
        <v>83</v>
      </c>
      <c r="E234">
        <v>0</v>
      </c>
      <c r="F234">
        <v>0</v>
      </c>
      <c r="G234">
        <v>0</v>
      </c>
      <c r="J234">
        <f>$AC$24</f>
        <v>1.7</v>
      </c>
      <c r="K234" s="2">
        <v>0.53</v>
      </c>
      <c r="L234" s="2">
        <v>0.53</v>
      </c>
      <c r="M234">
        <f t="shared" si="69"/>
        <v>0.41995000000000005</v>
      </c>
      <c r="O234">
        <f>$AC$79</f>
        <v>60</v>
      </c>
      <c r="P234">
        <f t="shared" si="75"/>
        <v>1.0216186875211368</v>
      </c>
      <c r="Q234">
        <f t="shared" si="70"/>
        <v>0.99691128459176326</v>
      </c>
      <c r="R234">
        <v>1</v>
      </c>
      <c r="S234">
        <f t="shared" si="71"/>
        <v>1.0184631981396477</v>
      </c>
      <c r="T234">
        <v>25</v>
      </c>
      <c r="U234">
        <f t="shared" si="72"/>
        <v>2.072710812502538E-2</v>
      </c>
      <c r="V234">
        <f t="shared" si="73"/>
        <v>91.25</v>
      </c>
      <c r="W234">
        <f t="shared" si="74"/>
        <v>47.28371541021415</v>
      </c>
    </row>
    <row r="235" spans="1:24" x14ac:dyDescent="0.2">
      <c r="A235">
        <v>2</v>
      </c>
      <c r="C235" t="s">
        <v>73</v>
      </c>
      <c r="D235" t="s">
        <v>80</v>
      </c>
      <c r="E235">
        <v>0</v>
      </c>
      <c r="F235">
        <v>0</v>
      </c>
      <c r="G235">
        <v>0</v>
      </c>
      <c r="J235">
        <f>$AD$21</f>
        <v>1.5</v>
      </c>
      <c r="K235" s="2">
        <v>0.5</v>
      </c>
      <c r="L235" s="2">
        <v>0.5</v>
      </c>
      <c r="M235">
        <f t="shared" si="69"/>
        <v>0.39610000000000001</v>
      </c>
      <c r="O235">
        <f>$AD$76</f>
        <v>50</v>
      </c>
      <c r="P235">
        <f t="shared" si="75"/>
        <v>0.78637350780019211</v>
      </c>
      <c r="Q235">
        <f t="shared" si="70"/>
        <v>0.98889100346175773</v>
      </c>
      <c r="R235">
        <v>1</v>
      </c>
      <c r="S235">
        <f t="shared" si="71"/>
        <v>0.7776376872242744</v>
      </c>
      <c r="T235">
        <v>50</v>
      </c>
      <c r="U235">
        <f t="shared" si="72"/>
        <v>1.6199588519816361E-2</v>
      </c>
      <c r="V235">
        <f t="shared" si="73"/>
        <v>91.25</v>
      </c>
      <c r="W235">
        <f t="shared" si="74"/>
        <v>73.910622621662142</v>
      </c>
    </row>
    <row r="236" spans="1:24" x14ac:dyDescent="0.2">
      <c r="D236" t="s">
        <v>81</v>
      </c>
      <c r="E236">
        <v>0</v>
      </c>
      <c r="F236">
        <v>0</v>
      </c>
      <c r="G236">
        <v>0</v>
      </c>
      <c r="J236">
        <f>$AD$22</f>
        <v>2</v>
      </c>
      <c r="K236" s="2">
        <v>0.51</v>
      </c>
      <c r="L236" s="2">
        <v>0.51</v>
      </c>
      <c r="M236">
        <f t="shared" si="69"/>
        <v>0.40405000000000002</v>
      </c>
      <c r="O236">
        <f>$AD$77</f>
        <v>55</v>
      </c>
      <c r="P236">
        <f t="shared" si="75"/>
        <v>0.89245542667763567</v>
      </c>
      <c r="Q236">
        <f t="shared" si="70"/>
        <v>0.99966453737209748</v>
      </c>
      <c r="R236">
        <v>1</v>
      </c>
      <c r="S236">
        <f t="shared" si="71"/>
        <v>0.89215604123491654</v>
      </c>
      <c r="T236">
        <v>60</v>
      </c>
      <c r="U236">
        <f t="shared" si="72"/>
        <v>1.8352533575216434E-2</v>
      </c>
      <c r="V236">
        <f t="shared" si="73"/>
        <v>91.25</v>
      </c>
      <c r="W236">
        <f t="shared" si="74"/>
        <v>100.48012132430998</v>
      </c>
    </row>
    <row r="237" spans="1:24" x14ac:dyDescent="0.2">
      <c r="D237" t="s">
        <v>82</v>
      </c>
      <c r="E237">
        <v>0</v>
      </c>
      <c r="F237">
        <v>0</v>
      </c>
      <c r="G237">
        <v>0</v>
      </c>
      <c r="J237">
        <f>$AD$23</f>
        <v>2.2000000000000002</v>
      </c>
      <c r="K237" s="2">
        <v>0.52</v>
      </c>
      <c r="L237" s="2">
        <v>0.52</v>
      </c>
      <c r="M237">
        <f t="shared" si="69"/>
        <v>0.41200000000000003</v>
      </c>
      <c r="O237">
        <f>$AD$78</f>
        <v>55</v>
      </c>
      <c r="P237">
        <f t="shared" si="75"/>
        <v>0.90926612782163052</v>
      </c>
      <c r="Q237">
        <f t="shared" si="70"/>
        <v>0.99993747849622516</v>
      </c>
      <c r="R237">
        <v>1</v>
      </c>
      <c r="S237">
        <f t="shared" si="71"/>
        <v>0.90920927913598759</v>
      </c>
      <c r="T237">
        <v>55</v>
      </c>
      <c r="U237">
        <f t="shared" si="72"/>
        <v>1.8673134447756569E-2</v>
      </c>
      <c r="V237">
        <f t="shared" si="73"/>
        <v>91.25</v>
      </c>
      <c r="W237">
        <f t="shared" si="74"/>
        <v>93.715793509678278</v>
      </c>
    </row>
    <row r="238" spans="1:24" x14ac:dyDescent="0.2">
      <c r="D238" t="s">
        <v>83</v>
      </c>
      <c r="E238">
        <v>0</v>
      </c>
      <c r="F238">
        <v>0</v>
      </c>
      <c r="G238">
        <v>0</v>
      </c>
      <c r="J238">
        <f>$AD$24</f>
        <v>1.7</v>
      </c>
      <c r="K238" s="2">
        <v>0.53</v>
      </c>
      <c r="L238" s="2">
        <v>0.53</v>
      </c>
      <c r="M238">
        <f t="shared" si="69"/>
        <v>0.41995000000000005</v>
      </c>
      <c r="O238">
        <f>$AD$79</f>
        <v>50</v>
      </c>
      <c r="P238">
        <f t="shared" si="75"/>
        <v>0.83332642370384502</v>
      </c>
      <c r="Q238">
        <f t="shared" si="70"/>
        <v>0.99691128459176326</v>
      </c>
      <c r="R238">
        <v>1</v>
      </c>
      <c r="S238">
        <f t="shared" si="71"/>
        <v>0.83075251553886009</v>
      </c>
      <c r="T238">
        <v>55</v>
      </c>
      <c r="U238">
        <f t="shared" si="72"/>
        <v>1.719814729213057E-2</v>
      </c>
      <c r="V238">
        <f t="shared" si="73"/>
        <v>91.25</v>
      </c>
      <c r="W238">
        <f t="shared" si="74"/>
        <v>86.313201722380299</v>
      </c>
    </row>
    <row r="239" spans="1:24" x14ac:dyDescent="0.2">
      <c r="A239">
        <v>3</v>
      </c>
      <c r="C239" t="s">
        <v>74</v>
      </c>
      <c r="D239" t="s">
        <v>80</v>
      </c>
      <c r="E239">
        <v>92</v>
      </c>
      <c r="F239">
        <v>87</v>
      </c>
      <c r="G239">
        <f>(E239/100*MIN(F239,100)/100)</f>
        <v>0.80040000000000011</v>
      </c>
      <c r="H239">
        <f>$AC$3</f>
        <v>1.3</v>
      </c>
      <c r="J239">
        <f>$AE$21</f>
        <v>1.5</v>
      </c>
      <c r="K239" s="2">
        <v>0.53</v>
      </c>
      <c r="L239" s="2">
        <v>0.53</v>
      </c>
      <c r="M239">
        <f t="shared" si="69"/>
        <v>0.41995000000000005</v>
      </c>
      <c r="O239">
        <f>$AE$76</f>
        <v>35</v>
      </c>
      <c r="P239">
        <f>(104.7 * M239 + 0.307 * O239- 15) * POWER(O239, 0.75) * 10^-3</f>
        <v>0.57146823458155449</v>
      </c>
      <c r="Q239">
        <f t="shared" si="70"/>
        <v>0.98889100346175773</v>
      </c>
      <c r="R239">
        <f>(G239 * H239) + (1 - G239)</f>
        <v>1.2401200000000001</v>
      </c>
      <c r="S239">
        <f t="shared" si="71"/>
        <v>0.70081636134343506</v>
      </c>
      <c r="T239">
        <v>60</v>
      </c>
      <c r="U239">
        <f t="shared" si="72"/>
        <v>1.475534759325658E-2</v>
      </c>
      <c r="V239">
        <f t="shared" si="73"/>
        <v>91.25</v>
      </c>
      <c r="W239">
        <f t="shared" si="74"/>
        <v>80.785528073079774</v>
      </c>
    </row>
    <row r="240" spans="1:24" x14ac:dyDescent="0.2">
      <c r="D240" t="s">
        <v>81</v>
      </c>
      <c r="E240">
        <v>0</v>
      </c>
      <c r="F240">
        <v>0</v>
      </c>
      <c r="G240">
        <f>(E240/100*MIN(F240,100)/100)</f>
        <v>0</v>
      </c>
      <c r="J240">
        <f>$AE$22</f>
        <v>2</v>
      </c>
      <c r="K240" s="2">
        <v>0.53</v>
      </c>
      <c r="L240" s="2">
        <v>0.53</v>
      </c>
      <c r="M240">
        <f t="shared" si="69"/>
        <v>0.41995000000000005</v>
      </c>
      <c r="O240">
        <f>$AE$77</f>
        <v>40</v>
      </c>
      <c r="P240">
        <f t="shared" ref="P240:P254" si="76">(104.7 * M240 + 0.307 * O240- 15) * POWER(O240, 0.75) * 10^-3</f>
        <v>0.65607870804581636</v>
      </c>
      <c r="Q240">
        <f t="shared" si="70"/>
        <v>0.99966453737209748</v>
      </c>
      <c r="R240">
        <f t="shared" ref="R240:R246" si="77">(G240 * H240) + (1 - G240)</f>
        <v>1</v>
      </c>
      <c r="S240">
        <f t="shared" si="71"/>
        <v>0.65585861815830437</v>
      </c>
      <c r="T240">
        <v>70</v>
      </c>
      <c r="U240">
        <f t="shared" si="72"/>
        <v>1.3910142021376122E-2</v>
      </c>
      <c r="V240">
        <f t="shared" si="73"/>
        <v>91.25</v>
      </c>
      <c r="W240">
        <f t="shared" si="74"/>
        <v>88.851032161539976</v>
      </c>
    </row>
    <row r="241" spans="1:23" x14ac:dyDescent="0.2">
      <c r="D241" t="s">
        <v>82</v>
      </c>
      <c r="E241">
        <v>0</v>
      </c>
      <c r="F241">
        <v>0</v>
      </c>
      <c r="G241">
        <f t="shared" ref="G241:G243" si="78">(E241/100*MIN(F241,100)/100)</f>
        <v>0</v>
      </c>
      <c r="J241">
        <f>$AE$23</f>
        <v>2.2000000000000002</v>
      </c>
      <c r="K241" s="2">
        <v>0.53</v>
      </c>
      <c r="L241" s="2">
        <v>0.53</v>
      </c>
      <c r="M241">
        <f t="shared" si="69"/>
        <v>0.41995000000000005</v>
      </c>
      <c r="O241">
        <f>$AE$78</f>
        <v>40</v>
      </c>
      <c r="P241">
        <f t="shared" si="76"/>
        <v>0.65607870804581636</v>
      </c>
      <c r="Q241">
        <f t="shared" si="70"/>
        <v>0.99993747849622516</v>
      </c>
      <c r="R241">
        <f t="shared" si="77"/>
        <v>1</v>
      </c>
      <c r="S241">
        <f t="shared" si="71"/>
        <v>0.65603768901839465</v>
      </c>
      <c r="T241">
        <v>60</v>
      </c>
      <c r="U241">
        <f t="shared" si="72"/>
        <v>1.391350855354582E-2</v>
      </c>
      <c r="V241">
        <f t="shared" si="73"/>
        <v>91.25</v>
      </c>
      <c r="W241">
        <f t="shared" si="74"/>
        <v>76.176459330663363</v>
      </c>
    </row>
    <row r="242" spans="1:23" x14ac:dyDescent="0.2">
      <c r="D242" t="s">
        <v>83</v>
      </c>
      <c r="E242">
        <v>0</v>
      </c>
      <c r="F242">
        <v>0</v>
      </c>
      <c r="G242">
        <f t="shared" si="78"/>
        <v>0</v>
      </c>
      <c r="J242">
        <f>$AE$24</f>
        <v>1.7</v>
      </c>
      <c r="K242" s="2">
        <v>0.53</v>
      </c>
      <c r="L242" s="2">
        <v>0.53</v>
      </c>
      <c r="M242">
        <f t="shared" si="69"/>
        <v>0.41995000000000005</v>
      </c>
      <c r="O242">
        <f>$AE$79</f>
        <v>35</v>
      </c>
      <c r="P242">
        <f t="shared" si="76"/>
        <v>0.57146823458155449</v>
      </c>
      <c r="Q242">
        <f t="shared" si="70"/>
        <v>0.99691128459176326</v>
      </c>
      <c r="R242">
        <f t="shared" si="77"/>
        <v>1</v>
      </c>
      <c r="S242">
        <f t="shared" si="71"/>
        <v>0.56970313184008459</v>
      </c>
      <c r="T242">
        <v>50</v>
      </c>
      <c r="U242">
        <f t="shared" si="72"/>
        <v>1.2290418878593591E-2</v>
      </c>
      <c r="V242">
        <f t="shared" si="73"/>
        <v>91.25</v>
      </c>
      <c r="W242">
        <f t="shared" si="74"/>
        <v>56.075036133583261</v>
      </c>
    </row>
    <row r="243" spans="1:23" x14ac:dyDescent="0.2">
      <c r="A243">
        <v>4</v>
      </c>
      <c r="C243" t="s">
        <v>75</v>
      </c>
      <c r="D243" t="s">
        <v>80</v>
      </c>
      <c r="E243">
        <v>95</v>
      </c>
      <c r="F243">
        <v>88</v>
      </c>
      <c r="G243">
        <f t="shared" si="78"/>
        <v>0.83599999999999997</v>
      </c>
      <c r="H243">
        <f>$AC$3</f>
        <v>1.3</v>
      </c>
      <c r="J243">
        <f>$AF$21</f>
        <v>1.5</v>
      </c>
      <c r="L243">
        <f>$AF$49</f>
        <v>0.51</v>
      </c>
      <c r="M243">
        <f t="shared" si="69"/>
        <v>0.40405000000000002</v>
      </c>
      <c r="O243">
        <f>$AF$76</f>
        <v>40</v>
      </c>
      <c r="P243">
        <f t="shared" si="76"/>
        <v>0.62960048723980899</v>
      </c>
      <c r="Q243">
        <f t="shared" si="70"/>
        <v>0.98889100346175773</v>
      </c>
      <c r="R243">
        <f t="shared" si="77"/>
        <v>1.2507999999999999</v>
      </c>
      <c r="S243">
        <f t="shared" si="71"/>
        <v>0.77875590701431807</v>
      </c>
      <c r="T243">
        <v>40</v>
      </c>
      <c r="U243">
        <f t="shared" si="72"/>
        <v>1.6220611051869182E-2</v>
      </c>
      <c r="V243">
        <f t="shared" si="73"/>
        <v>91.25</v>
      </c>
      <c r="W243">
        <f t="shared" si="74"/>
        <v>59.205230339322519</v>
      </c>
    </row>
    <row r="244" spans="1:23" x14ac:dyDescent="0.2">
      <c r="D244" t="s">
        <v>81</v>
      </c>
      <c r="E244">
        <v>0</v>
      </c>
      <c r="F244">
        <v>0</v>
      </c>
      <c r="G244">
        <v>0</v>
      </c>
      <c r="J244">
        <f>$AF$22</f>
        <v>2</v>
      </c>
      <c r="L244">
        <f>$AF$50</f>
        <v>0.55000000000000004</v>
      </c>
      <c r="M244">
        <f t="shared" si="69"/>
        <v>0.43585000000000007</v>
      </c>
      <c r="O244">
        <f>$AF$77</f>
        <v>45</v>
      </c>
      <c r="P244">
        <f t="shared" si="76"/>
        <v>0.77226516609487061</v>
      </c>
      <c r="Q244">
        <f t="shared" si="70"/>
        <v>0.99966453737209748</v>
      </c>
      <c r="R244">
        <f t="shared" si="77"/>
        <v>1</v>
      </c>
      <c r="S244">
        <f t="shared" si="71"/>
        <v>0.77200609999281489</v>
      </c>
      <c r="T244">
        <v>45</v>
      </c>
      <c r="U244">
        <f t="shared" si="72"/>
        <v>1.609371467986492E-2</v>
      </c>
      <c r="V244">
        <f t="shared" si="73"/>
        <v>91.25</v>
      </c>
      <c r="W244">
        <f t="shared" si="74"/>
        <v>66.084815904195324</v>
      </c>
    </row>
    <row r="245" spans="1:23" x14ac:dyDescent="0.2">
      <c r="D245" t="s">
        <v>82</v>
      </c>
      <c r="E245">
        <v>0</v>
      </c>
      <c r="F245">
        <v>0</v>
      </c>
      <c r="G245">
        <v>0</v>
      </c>
      <c r="J245">
        <f>$AF$23</f>
        <v>2.2000000000000002</v>
      </c>
      <c r="L245">
        <f>$AF$51</f>
        <v>0.59</v>
      </c>
      <c r="M245">
        <f t="shared" si="69"/>
        <v>0.46765000000000001</v>
      </c>
      <c r="O245">
        <f>$AF$78</f>
        <v>45</v>
      </c>
      <c r="P245">
        <f t="shared" si="76"/>
        <v>0.8301124785833186</v>
      </c>
      <c r="Q245">
        <f t="shared" si="70"/>
        <v>0.99993747849622516</v>
      </c>
      <c r="R245">
        <f t="shared" si="77"/>
        <v>1</v>
      </c>
      <c r="S245">
        <f t="shared" si="71"/>
        <v>0.83006057870285532</v>
      </c>
      <c r="T245">
        <v>40</v>
      </c>
      <c r="U245">
        <f t="shared" si="72"/>
        <v>1.7185138879613683E-2</v>
      </c>
      <c r="V245">
        <f t="shared" si="73"/>
        <v>91.25</v>
      </c>
      <c r="W245">
        <f t="shared" si="74"/>
        <v>62.725756910589936</v>
      </c>
    </row>
    <row r="246" spans="1:23" x14ac:dyDescent="0.2">
      <c r="D246" t="s">
        <v>83</v>
      </c>
      <c r="E246">
        <v>0</v>
      </c>
      <c r="F246">
        <v>0</v>
      </c>
      <c r="G246">
        <v>0</v>
      </c>
      <c r="J246">
        <f>$AF$24</f>
        <v>1.7</v>
      </c>
      <c r="L246">
        <f>$AF$52</f>
        <v>0.57999999999999996</v>
      </c>
      <c r="M246">
        <f t="shared" si="69"/>
        <v>0.4597</v>
      </c>
      <c r="O246">
        <f>$AF$79</f>
        <v>42</v>
      </c>
      <c r="P246">
        <f t="shared" si="76"/>
        <v>0.7593235966549482</v>
      </c>
      <c r="Q246">
        <f t="shared" si="70"/>
        <v>0.99691128459176326</v>
      </c>
      <c r="R246">
        <f t="shared" si="77"/>
        <v>1</v>
      </c>
      <c r="S246">
        <f t="shared" si="71"/>
        <v>0.75697826216212227</v>
      </c>
      <c r="T246">
        <v>35</v>
      </c>
      <c r="U246">
        <f t="shared" si="72"/>
        <v>1.5811191328647899E-2</v>
      </c>
      <c r="V246">
        <f t="shared" si="73"/>
        <v>91.25</v>
      </c>
      <c r="W246">
        <f t="shared" si="74"/>
        <v>50.496992305869227</v>
      </c>
    </row>
    <row r="247" spans="1:23" x14ac:dyDescent="0.2">
      <c r="A247">
        <v>5</v>
      </c>
      <c r="C247" t="s">
        <v>76</v>
      </c>
      <c r="D247" t="s">
        <v>80</v>
      </c>
      <c r="E247">
        <v>0</v>
      </c>
      <c r="F247">
        <v>0</v>
      </c>
      <c r="G247">
        <v>0</v>
      </c>
      <c r="J247">
        <f>$AG$21</f>
        <v>1.5</v>
      </c>
      <c r="L247">
        <f>$AG$49</f>
        <v>0.51</v>
      </c>
      <c r="M247">
        <f t="shared" si="69"/>
        <v>0.40405000000000002</v>
      </c>
      <c r="O247">
        <f>$AG$76</f>
        <v>45</v>
      </c>
      <c r="P247">
        <f t="shared" si="76"/>
        <v>0.71441785360642229</v>
      </c>
      <c r="Q247">
        <f t="shared" si="70"/>
        <v>0.98889100346175773</v>
      </c>
      <c r="R247">
        <v>1</v>
      </c>
      <c r="S247">
        <f t="shared" si="71"/>
        <v>0.70648138814385009</v>
      </c>
      <c r="T247">
        <v>25</v>
      </c>
      <c r="U247">
        <f t="shared" si="72"/>
        <v>1.4861850097104381E-2</v>
      </c>
      <c r="V247">
        <f t="shared" si="73"/>
        <v>91.25</v>
      </c>
      <c r="W247">
        <f t="shared" si="74"/>
        <v>33.903595534019367</v>
      </c>
    </row>
    <row r="248" spans="1:23" x14ac:dyDescent="0.2">
      <c r="D248" t="s">
        <v>81</v>
      </c>
      <c r="E248">
        <v>0</v>
      </c>
      <c r="F248">
        <v>0</v>
      </c>
      <c r="G248">
        <v>0</v>
      </c>
      <c r="J248">
        <f>$AG$22</f>
        <v>2</v>
      </c>
      <c r="L248">
        <f>$AG$50</f>
        <v>0.55000000000000004</v>
      </c>
      <c r="M248">
        <f t="shared" si="69"/>
        <v>0.43585000000000007</v>
      </c>
      <c r="O248">
        <f>$AG$77</f>
        <v>50</v>
      </c>
      <c r="P248">
        <f t="shared" si="76"/>
        <v>0.8646283676396137</v>
      </c>
      <c r="Q248">
        <f t="shared" si="70"/>
        <v>0.99966453737209748</v>
      </c>
      <c r="R248">
        <v>1</v>
      </c>
      <c r="S248">
        <f t="shared" si="71"/>
        <v>0.86433831713524623</v>
      </c>
      <c r="T248">
        <v>30</v>
      </c>
      <c r="U248">
        <f t="shared" si="72"/>
        <v>1.782956036214263E-2</v>
      </c>
      <c r="V248">
        <f t="shared" si="73"/>
        <v>91.25</v>
      </c>
      <c r="W248">
        <f t="shared" si="74"/>
        <v>48.808421491365451</v>
      </c>
    </row>
    <row r="249" spans="1:23" x14ac:dyDescent="0.2">
      <c r="D249" t="s">
        <v>82</v>
      </c>
      <c r="E249">
        <v>0</v>
      </c>
      <c r="F249">
        <v>0</v>
      </c>
      <c r="G249">
        <v>0</v>
      </c>
      <c r="J249">
        <f>$AG$23</f>
        <v>2.2000000000000002</v>
      </c>
      <c r="L249">
        <f>$AG$51</f>
        <v>0.59</v>
      </c>
      <c r="M249">
        <f t="shared" si="69"/>
        <v>0.46765000000000001</v>
      </c>
      <c r="O249">
        <f>$AG$78</f>
        <v>50</v>
      </c>
      <c r="P249">
        <f t="shared" si="76"/>
        <v>0.92723225551115063</v>
      </c>
      <c r="Q249">
        <f t="shared" si="70"/>
        <v>0.99993747849622516</v>
      </c>
      <c r="R249">
        <v>1</v>
      </c>
      <c r="S249">
        <f t="shared" si="71"/>
        <v>0.92717428355618758</v>
      </c>
      <c r="T249">
        <v>25</v>
      </c>
      <c r="U249">
        <f t="shared" si="72"/>
        <v>1.9010876530856327E-2</v>
      </c>
      <c r="V249">
        <f t="shared" si="73"/>
        <v>91.25</v>
      </c>
      <c r="W249">
        <f t="shared" si="74"/>
        <v>43.368562086015991</v>
      </c>
    </row>
    <row r="250" spans="1:23" x14ac:dyDescent="0.2">
      <c r="D250" t="s">
        <v>83</v>
      </c>
      <c r="E250">
        <v>0</v>
      </c>
      <c r="F250">
        <v>0</v>
      </c>
      <c r="G250">
        <v>0</v>
      </c>
      <c r="J250">
        <f>$AG$24</f>
        <v>1.7</v>
      </c>
      <c r="L250">
        <f>$AG$52</f>
        <v>0.57999999999999996</v>
      </c>
      <c r="M250">
        <f t="shared" si="69"/>
        <v>0.4597</v>
      </c>
      <c r="O250">
        <f>$AG$79</f>
        <v>48</v>
      </c>
      <c r="P250">
        <f t="shared" si="76"/>
        <v>0.87289783757888828</v>
      </c>
      <c r="Q250">
        <f t="shared" si="70"/>
        <v>0.99691128459176326</v>
      </c>
      <c r="R250">
        <v>1</v>
      </c>
      <c r="S250">
        <f t="shared" si="71"/>
        <v>0.87020170457814183</v>
      </c>
      <c r="T250">
        <v>20</v>
      </c>
      <c r="U250">
        <f t="shared" si="72"/>
        <v>1.7939792046069068E-2</v>
      </c>
      <c r="V250">
        <f t="shared" si="73"/>
        <v>91.25</v>
      </c>
      <c r="W250">
        <f t="shared" si="74"/>
        <v>32.740120484076051</v>
      </c>
    </row>
    <row r="251" spans="1:23" x14ac:dyDescent="0.2">
      <c r="A251">
        <v>6</v>
      </c>
      <c r="C251" t="s">
        <v>77</v>
      </c>
      <c r="D251" t="s">
        <v>80</v>
      </c>
      <c r="E251">
        <v>0</v>
      </c>
      <c r="F251">
        <v>0</v>
      </c>
      <c r="G251">
        <v>0</v>
      </c>
      <c r="J251">
        <f>$AH$21</f>
        <v>1.5</v>
      </c>
      <c r="L251">
        <f>$AH$49</f>
        <v>0.51</v>
      </c>
      <c r="M251">
        <f t="shared" si="69"/>
        <v>0.40405000000000002</v>
      </c>
      <c r="O251">
        <f>$AH$76</f>
        <v>20</v>
      </c>
      <c r="P251">
        <f t="shared" si="76"/>
        <v>0.31629415472458533</v>
      </c>
      <c r="Q251">
        <f t="shared" si="70"/>
        <v>0.98889100346175773</v>
      </c>
      <c r="R251">
        <v>1</v>
      </c>
      <c r="S251">
        <f t="shared" si="71"/>
        <v>0.31278044405468364</v>
      </c>
      <c r="T251">
        <v>15</v>
      </c>
      <c r="U251">
        <f t="shared" si="72"/>
        <v>7.4602723482280527E-3</v>
      </c>
      <c r="V251">
        <f t="shared" si="73"/>
        <v>91.25</v>
      </c>
      <c r="W251">
        <f t="shared" si="74"/>
        <v>10.211247776637148</v>
      </c>
    </row>
    <row r="252" spans="1:23" x14ac:dyDescent="0.2">
      <c r="D252" t="s">
        <v>81</v>
      </c>
      <c r="E252">
        <v>0</v>
      </c>
      <c r="F252">
        <v>0</v>
      </c>
      <c r="G252">
        <v>0</v>
      </c>
      <c r="J252">
        <f>$AH$22</f>
        <v>2</v>
      </c>
      <c r="L252">
        <f>$AH$50</f>
        <v>0.55000000000000004</v>
      </c>
      <c r="M252">
        <f t="shared" si="69"/>
        <v>0.43585000000000007</v>
      </c>
      <c r="O252">
        <f>$AH$77</f>
        <v>25</v>
      </c>
      <c r="P252">
        <f t="shared" si="76"/>
        <v>0.42830199467855401</v>
      </c>
      <c r="Q252">
        <f t="shared" si="70"/>
        <v>0.99966453737209748</v>
      </c>
      <c r="R252">
        <v>1</v>
      </c>
      <c r="S252">
        <f t="shared" si="71"/>
        <v>0.42815831536588328</v>
      </c>
      <c r="T252">
        <v>45</v>
      </c>
      <c r="U252">
        <f t="shared" si="72"/>
        <v>9.6293763288786052E-3</v>
      </c>
      <c r="V252">
        <f t="shared" si="73"/>
        <v>91.25</v>
      </c>
      <c r="W252">
        <f t="shared" si="74"/>
        <v>39.540626550457773</v>
      </c>
    </row>
    <row r="253" spans="1:23" x14ac:dyDescent="0.2">
      <c r="D253" t="s">
        <v>82</v>
      </c>
      <c r="E253">
        <v>0</v>
      </c>
      <c r="F253">
        <v>0</v>
      </c>
      <c r="G253">
        <v>0</v>
      </c>
      <c r="J253">
        <f>$AH$23</f>
        <v>2.2000000000000002</v>
      </c>
      <c r="L253">
        <f>$AH$51</f>
        <v>0.59</v>
      </c>
      <c r="M253">
        <f t="shared" si="69"/>
        <v>0.46765000000000001</v>
      </c>
      <c r="O253">
        <f>$AH$78</f>
        <v>20</v>
      </c>
      <c r="P253">
        <f t="shared" si="76"/>
        <v>0.37927033187481962</v>
      </c>
      <c r="Q253">
        <f t="shared" si="70"/>
        <v>0.99993747849622516</v>
      </c>
      <c r="R253">
        <v>1</v>
      </c>
      <c r="S253">
        <f t="shared" si="71"/>
        <v>0.37924661932333364</v>
      </c>
      <c r="T253">
        <v>40</v>
      </c>
      <c r="U253">
        <f t="shared" si="72"/>
        <v>8.7098364432786728E-3</v>
      </c>
      <c r="V253">
        <f t="shared" si="73"/>
        <v>91.25</v>
      </c>
      <c r="W253">
        <f t="shared" si="74"/>
        <v>31.790903017967157</v>
      </c>
    </row>
    <row r="254" spans="1:23" x14ac:dyDescent="0.2">
      <c r="D254" t="s">
        <v>83</v>
      </c>
      <c r="E254">
        <v>0</v>
      </c>
      <c r="F254">
        <v>0</v>
      </c>
      <c r="G254">
        <v>0</v>
      </c>
      <c r="J254">
        <f>$AH$24</f>
        <v>1.7</v>
      </c>
      <c r="L254">
        <f>$AH$52</f>
        <v>0.57999999999999996</v>
      </c>
      <c r="M254">
        <f t="shared" si="69"/>
        <v>0.4597</v>
      </c>
      <c r="O254">
        <f>$AH$79</f>
        <v>25</v>
      </c>
      <c r="P254">
        <f t="shared" si="76"/>
        <v>0.45622036550992806</v>
      </c>
      <c r="Q254">
        <f t="shared" si="70"/>
        <v>0.99691128459176326</v>
      </c>
      <c r="R254">
        <v>1</v>
      </c>
      <c r="S254">
        <f t="shared" si="71"/>
        <v>0.45481123063742612</v>
      </c>
      <c r="T254">
        <v>30</v>
      </c>
      <c r="U254">
        <f t="shared" si="72"/>
        <v>1.0130451135983612E-2</v>
      </c>
      <c r="V254">
        <f t="shared" si="73"/>
        <v>91.25</v>
      </c>
      <c r="W254">
        <f t="shared" si="74"/>
        <v>27.732109984755141</v>
      </c>
    </row>
    <row r="261" spans="1:24" x14ac:dyDescent="0.2">
      <c r="A261" t="s">
        <v>101</v>
      </c>
      <c r="B261" t="s">
        <v>100</v>
      </c>
      <c r="C261" t="s">
        <v>72</v>
      </c>
      <c r="D261" t="s">
        <v>80</v>
      </c>
      <c r="E261">
        <v>0</v>
      </c>
      <c r="F261">
        <v>0</v>
      </c>
      <c r="G261">
        <v>0</v>
      </c>
      <c r="J261">
        <f>$AC$25</f>
        <v>4</v>
      </c>
      <c r="L261">
        <f>$AC$53</f>
        <v>0.7</v>
      </c>
      <c r="M261">
        <f>(0.795 * L261) - 0.0014</f>
        <v>0.55510000000000004</v>
      </c>
      <c r="N261" s="2">
        <v>79</v>
      </c>
      <c r="O261" s="2">
        <v>79</v>
      </c>
      <c r="P261">
        <f>(104.7 * M261 + 0.307 * O261- 15) * POWER(O261, 0.75) * 10^-3</f>
        <v>1.7852521511708519</v>
      </c>
      <c r="Q261">
        <f>1-EXP(-2*POWER(J261,2))</f>
        <v>0.99999999999998734</v>
      </c>
      <c r="R261">
        <v>1</v>
      </c>
      <c r="S261">
        <f>P261 * Q261 * R261</f>
        <v>1.7852521511708292</v>
      </c>
      <c r="T261">
        <v>25</v>
      </c>
      <c r="U261">
        <f>(S261 * 0.0188) + 0.00158</f>
        <v>3.5142740442011593E-2</v>
      </c>
      <c r="V261">
        <f>$AC$4</f>
        <v>91.25</v>
      </c>
      <c r="W261">
        <f>T261*U261*V261</f>
        <v>80.169376633338942</v>
      </c>
      <c r="X261">
        <f>SUM(W261:W284)*10^-3</f>
        <v>2.1235281477198638</v>
      </c>
    </row>
    <row r="262" spans="1:24" x14ac:dyDescent="0.2">
      <c r="D262" t="s">
        <v>81</v>
      </c>
      <c r="E262">
        <v>0</v>
      </c>
      <c r="F262">
        <v>0</v>
      </c>
      <c r="G262">
        <v>0</v>
      </c>
      <c r="J262">
        <f>$AC$26</f>
        <v>2.5</v>
      </c>
      <c r="L262">
        <f>$AC$54</f>
        <v>0.55000000000000004</v>
      </c>
      <c r="M262">
        <f t="shared" ref="M262:M284" si="79">(0.795 * L262) - 0.0014</f>
        <v>0.43585000000000007</v>
      </c>
      <c r="N262" s="2">
        <v>78</v>
      </c>
      <c r="O262" s="2">
        <v>78</v>
      </c>
      <c r="P262">
        <f>(104.7 * M262 + 0.307 * O262- 15) * POWER(O262, 0.75) * 10^-3</f>
        <v>1.4325192446096717</v>
      </c>
      <c r="Q262">
        <f t="shared" ref="Q262:Q284" si="80">1-EXP(-2*POWER(J262,2))</f>
        <v>0.99999627334682795</v>
      </c>
      <c r="R262">
        <v>1</v>
      </c>
      <c r="S262">
        <f t="shared" ref="S262:S284" si="81">P262 * Q262 * R262</f>
        <v>1.4325139061072847</v>
      </c>
      <c r="T262">
        <v>20</v>
      </c>
      <c r="U262">
        <f t="shared" ref="U262:U284" si="82">(S262 * 0.0188) + 0.00158</f>
        <v>2.8511261434816956E-2</v>
      </c>
      <c r="V262">
        <f t="shared" ref="V262:V284" si="83">$AC$4</f>
        <v>91.25</v>
      </c>
      <c r="W262">
        <f t="shared" ref="W262:W284" si="84">T262*U262*V262</f>
        <v>52.033052118540951</v>
      </c>
    </row>
    <row r="263" spans="1:24" x14ac:dyDescent="0.2">
      <c r="D263" t="s">
        <v>82</v>
      </c>
      <c r="E263">
        <v>0</v>
      </c>
      <c r="F263">
        <v>0</v>
      </c>
      <c r="G263">
        <v>0</v>
      </c>
      <c r="J263">
        <f>$AC$27</f>
        <v>0.7</v>
      </c>
      <c r="L263">
        <f>$AC$55</f>
        <v>0.55000000000000004</v>
      </c>
      <c r="M263">
        <f t="shared" si="79"/>
        <v>0.43585000000000007</v>
      </c>
      <c r="N263" s="2">
        <v>77</v>
      </c>
      <c r="O263" s="2">
        <v>77</v>
      </c>
      <c r="P263">
        <f t="shared" ref="P263:P268" si="85">(104.7 * M263 + 0.307 * O263- 15) * POWER(O263, 0.75) * 10^-3</f>
        <v>1.4107427634270284</v>
      </c>
      <c r="Q263">
        <f t="shared" si="80"/>
        <v>0.62468890114860043</v>
      </c>
      <c r="R263">
        <v>1</v>
      </c>
      <c r="S263">
        <f t="shared" si="81"/>
        <v>0.88127534668857033</v>
      </c>
      <c r="T263">
        <v>19</v>
      </c>
      <c r="U263">
        <f t="shared" si="82"/>
        <v>1.8147976517745124E-2</v>
      </c>
      <c r="V263">
        <f t="shared" si="83"/>
        <v>91.25</v>
      </c>
      <c r="W263">
        <f t="shared" si="84"/>
        <v>31.464054287640607</v>
      </c>
    </row>
    <row r="264" spans="1:24" x14ac:dyDescent="0.2">
      <c r="D264" t="s">
        <v>83</v>
      </c>
      <c r="E264">
        <v>0</v>
      </c>
      <c r="F264">
        <v>0</v>
      </c>
      <c r="G264">
        <v>0</v>
      </c>
      <c r="J264">
        <f>$AC$28</f>
        <v>0.9</v>
      </c>
      <c r="L264">
        <f>$AC$56</f>
        <v>0.75</v>
      </c>
      <c r="M264">
        <f t="shared" si="79"/>
        <v>0.5948500000000001</v>
      </c>
      <c r="N264" s="2">
        <v>76</v>
      </c>
      <c r="O264" s="2">
        <v>76</v>
      </c>
      <c r="P264">
        <f t="shared" si="85"/>
        <v>1.8175802556295724</v>
      </c>
      <c r="Q264">
        <f t="shared" si="80"/>
        <v>0.80210130091638532</v>
      </c>
      <c r="R264">
        <v>1</v>
      </c>
      <c r="S264">
        <f t="shared" si="81"/>
        <v>1.4578834875604161</v>
      </c>
      <c r="T264">
        <v>25</v>
      </c>
      <c r="U264">
        <f t="shared" si="82"/>
        <v>2.8988209566135827E-2</v>
      </c>
      <c r="V264">
        <f t="shared" si="83"/>
        <v>91.25</v>
      </c>
      <c r="W264">
        <f t="shared" si="84"/>
        <v>66.12935307274735</v>
      </c>
    </row>
    <row r="265" spans="1:24" x14ac:dyDescent="0.2">
      <c r="A265">
        <v>2</v>
      </c>
      <c r="C265" t="s">
        <v>73</v>
      </c>
      <c r="D265" t="s">
        <v>80</v>
      </c>
      <c r="E265">
        <v>0</v>
      </c>
      <c r="F265">
        <v>0</v>
      </c>
      <c r="G265">
        <v>0</v>
      </c>
      <c r="J265">
        <f>$AD$25</f>
        <v>4</v>
      </c>
      <c r="L265">
        <f>$AD$53</f>
        <v>0.7</v>
      </c>
      <c r="M265">
        <f t="shared" si="79"/>
        <v>0.55510000000000004</v>
      </c>
      <c r="N265" s="2">
        <v>75</v>
      </c>
      <c r="O265" s="2">
        <v>75</v>
      </c>
      <c r="P265">
        <f t="shared" si="85"/>
        <v>1.6857229733976102</v>
      </c>
      <c r="Q265">
        <f t="shared" si="80"/>
        <v>0.99999999999998734</v>
      </c>
      <c r="R265">
        <v>1</v>
      </c>
      <c r="S265">
        <f t="shared" si="81"/>
        <v>1.6857229733975889</v>
      </c>
      <c r="T265">
        <v>50</v>
      </c>
      <c r="U265">
        <f t="shared" si="82"/>
        <v>3.3271591899874671E-2</v>
      </c>
      <c r="V265">
        <f t="shared" si="83"/>
        <v>91.25</v>
      </c>
      <c r="W265">
        <f t="shared" si="84"/>
        <v>151.80163804317817</v>
      </c>
    </row>
    <row r="266" spans="1:24" x14ac:dyDescent="0.2">
      <c r="D266" t="s">
        <v>81</v>
      </c>
      <c r="E266">
        <v>0</v>
      </c>
      <c r="F266">
        <v>0</v>
      </c>
      <c r="G266">
        <v>0</v>
      </c>
      <c r="J266">
        <f>$AD$26</f>
        <v>2.5</v>
      </c>
      <c r="L266">
        <f>$AD$54</f>
        <v>0.55000000000000004</v>
      </c>
      <c r="M266">
        <f t="shared" si="79"/>
        <v>0.43585000000000007</v>
      </c>
      <c r="N266" s="2">
        <v>74</v>
      </c>
      <c r="O266" s="2">
        <v>74</v>
      </c>
      <c r="P266">
        <f t="shared" si="85"/>
        <v>1.3460784869379241</v>
      </c>
      <c r="Q266">
        <f t="shared" si="80"/>
        <v>0.99999627334682795</v>
      </c>
      <c r="R266">
        <v>1</v>
      </c>
      <c r="S266">
        <f t="shared" si="81"/>
        <v>1.3460734705702608</v>
      </c>
      <c r="T266">
        <v>60</v>
      </c>
      <c r="U266">
        <f t="shared" si="82"/>
        <v>2.6886181246720906E-2</v>
      </c>
      <c r="V266">
        <f t="shared" si="83"/>
        <v>91.25</v>
      </c>
      <c r="W266">
        <f t="shared" si="84"/>
        <v>147.20184232579695</v>
      </c>
    </row>
    <row r="267" spans="1:24" x14ac:dyDescent="0.2">
      <c r="D267" t="s">
        <v>82</v>
      </c>
      <c r="E267">
        <v>0</v>
      </c>
      <c r="F267">
        <v>0</v>
      </c>
      <c r="G267">
        <v>0</v>
      </c>
      <c r="J267">
        <f>$AD$27</f>
        <v>0.7</v>
      </c>
      <c r="L267">
        <f>$AD$55</f>
        <v>0.55000000000000004</v>
      </c>
      <c r="M267">
        <f t="shared" si="79"/>
        <v>0.43585000000000007</v>
      </c>
      <c r="N267" s="2">
        <v>73</v>
      </c>
      <c r="O267" s="2">
        <v>73</v>
      </c>
      <c r="P267">
        <f t="shared" si="85"/>
        <v>1.3247455344549881</v>
      </c>
      <c r="Q267">
        <f t="shared" si="80"/>
        <v>0.62468890114860043</v>
      </c>
      <c r="R267">
        <v>1</v>
      </c>
      <c r="S267">
        <f t="shared" si="81"/>
        <v>0.82755383222020196</v>
      </c>
      <c r="T267">
        <v>55</v>
      </c>
      <c r="U267">
        <f t="shared" si="82"/>
        <v>1.7138012045739798E-2</v>
      </c>
      <c r="V267">
        <f t="shared" si="83"/>
        <v>91.25</v>
      </c>
      <c r="W267">
        <f t="shared" si="84"/>
        <v>86.011397954556614</v>
      </c>
    </row>
    <row r="268" spans="1:24" x14ac:dyDescent="0.2">
      <c r="D268" t="s">
        <v>83</v>
      </c>
      <c r="E268">
        <v>0</v>
      </c>
      <c r="F268">
        <v>0</v>
      </c>
      <c r="G268">
        <v>0</v>
      </c>
      <c r="J268">
        <f>$AD$28</f>
        <v>0.9</v>
      </c>
      <c r="L268">
        <f>$AD$56</f>
        <v>0.75</v>
      </c>
      <c r="M268">
        <f t="shared" si="79"/>
        <v>0.5948500000000001</v>
      </c>
      <c r="N268" s="2">
        <v>72</v>
      </c>
      <c r="O268" s="2">
        <v>72</v>
      </c>
      <c r="P268">
        <f t="shared" si="85"/>
        <v>1.71499825233277</v>
      </c>
      <c r="Q268">
        <f t="shared" si="80"/>
        <v>0.80210130091638532</v>
      </c>
      <c r="R268">
        <v>1</v>
      </c>
      <c r="S268">
        <f t="shared" si="81"/>
        <v>1.375602329265442</v>
      </c>
      <c r="T268">
        <v>55</v>
      </c>
      <c r="U268">
        <f t="shared" si="82"/>
        <v>2.7441323790190313E-2</v>
      </c>
      <c r="V268">
        <f t="shared" si="83"/>
        <v>91.25</v>
      </c>
      <c r="W268">
        <f t="shared" si="84"/>
        <v>137.72114377201763</v>
      </c>
    </row>
    <row r="269" spans="1:24" x14ac:dyDescent="0.2">
      <c r="A269">
        <v>3</v>
      </c>
      <c r="C269" t="s">
        <v>74</v>
      </c>
      <c r="D269" t="s">
        <v>80</v>
      </c>
      <c r="E269">
        <v>92</v>
      </c>
      <c r="F269">
        <v>87</v>
      </c>
      <c r="G269">
        <f>(E269/100*MIN(F269,100)/100)</f>
        <v>0.80040000000000011</v>
      </c>
      <c r="H269">
        <f>$AC$3</f>
        <v>1.3</v>
      </c>
      <c r="J269">
        <f>$AE$25</f>
        <v>4</v>
      </c>
      <c r="L269">
        <f>$AE$53</f>
        <v>0.7</v>
      </c>
      <c r="M269">
        <f t="shared" si="79"/>
        <v>0.55510000000000004</v>
      </c>
      <c r="N269" s="2">
        <v>71</v>
      </c>
      <c r="O269" s="2">
        <v>71</v>
      </c>
      <c r="P269">
        <f>(104.7 * M269 + 0.307 * O269- 15) * POWER(O269, 0.75) * 10^-3</f>
        <v>1.5877982261232466</v>
      </c>
      <c r="Q269">
        <f t="shared" si="80"/>
        <v>0.99999999999998734</v>
      </c>
      <c r="R269">
        <f>(G269 * H269) + (1 - G269)</f>
        <v>1.2401200000000001</v>
      </c>
      <c r="S269">
        <f t="shared" si="81"/>
        <v>1.9690603361799357</v>
      </c>
      <c r="T269">
        <v>60</v>
      </c>
      <c r="U269">
        <f t="shared" si="82"/>
        <v>3.8598334320182788E-2</v>
      </c>
      <c r="V269">
        <f t="shared" si="83"/>
        <v>91.25</v>
      </c>
      <c r="W269">
        <f t="shared" si="84"/>
        <v>211.32588040300078</v>
      </c>
    </row>
    <row r="270" spans="1:24" x14ac:dyDescent="0.2">
      <c r="D270" t="s">
        <v>81</v>
      </c>
      <c r="E270">
        <v>0</v>
      </c>
      <c r="F270">
        <v>0</v>
      </c>
      <c r="G270">
        <f>(E270/100*MIN(F270,100)/100)</f>
        <v>0</v>
      </c>
      <c r="J270">
        <f>$AE$26</f>
        <v>2.5</v>
      </c>
      <c r="L270">
        <f>$AE$54</f>
        <v>0.55000000000000004</v>
      </c>
      <c r="M270">
        <f t="shared" si="79"/>
        <v>0.43585000000000007</v>
      </c>
      <c r="N270" s="2">
        <v>70</v>
      </c>
      <c r="O270" s="2">
        <v>70</v>
      </c>
      <c r="P270">
        <f t="shared" ref="P270:P284" si="86">(104.7 * M270 + 0.307 * O270- 15) * POWER(O270, 0.75) * 10^-3</f>
        <v>1.2614122912776211</v>
      </c>
      <c r="Q270">
        <f t="shared" si="80"/>
        <v>0.99999627334682795</v>
      </c>
      <c r="R270">
        <f t="shared" ref="R270:R276" si="87">(G270 * H270) + (1 - G270)</f>
        <v>1</v>
      </c>
      <c r="S270">
        <f t="shared" si="81"/>
        <v>1.2614075904315045</v>
      </c>
      <c r="T270">
        <v>70</v>
      </c>
      <c r="U270">
        <f t="shared" si="82"/>
        <v>2.5294462700112288E-2</v>
      </c>
      <c r="V270">
        <f t="shared" si="83"/>
        <v>91.25</v>
      </c>
      <c r="W270">
        <f t="shared" si="84"/>
        <v>161.56838049696725</v>
      </c>
    </row>
    <row r="271" spans="1:24" x14ac:dyDescent="0.2">
      <c r="D271" t="s">
        <v>82</v>
      </c>
      <c r="E271">
        <v>0</v>
      </c>
      <c r="F271">
        <v>0</v>
      </c>
      <c r="G271">
        <f t="shared" ref="G271:G273" si="88">(E271/100*MIN(F271,100)/100)</f>
        <v>0</v>
      </c>
      <c r="J271">
        <f>$AE$27</f>
        <v>0.7</v>
      </c>
      <c r="L271">
        <f>$AE$55</f>
        <v>0.55000000000000004</v>
      </c>
      <c r="M271">
        <f t="shared" si="79"/>
        <v>0.43585000000000007</v>
      </c>
      <c r="N271" s="2">
        <v>69</v>
      </c>
      <c r="O271" s="2">
        <v>69</v>
      </c>
      <c r="P271">
        <f t="shared" si="86"/>
        <v>1.2405230861491703</v>
      </c>
      <c r="Q271">
        <f t="shared" si="80"/>
        <v>0.62468890114860043</v>
      </c>
      <c r="R271">
        <f t="shared" si="87"/>
        <v>1</v>
      </c>
      <c r="S271">
        <f t="shared" si="81"/>
        <v>0.77494100353599582</v>
      </c>
      <c r="T271">
        <v>60</v>
      </c>
      <c r="U271">
        <f t="shared" si="82"/>
        <v>1.6148890866476723E-2</v>
      </c>
      <c r="V271">
        <f t="shared" si="83"/>
        <v>91.25</v>
      </c>
      <c r="W271">
        <f t="shared" si="84"/>
        <v>88.415177493960059</v>
      </c>
    </row>
    <row r="272" spans="1:24" x14ac:dyDescent="0.2">
      <c r="D272" t="s">
        <v>83</v>
      </c>
      <c r="E272">
        <v>0</v>
      </c>
      <c r="F272">
        <v>0</v>
      </c>
      <c r="G272">
        <f t="shared" si="88"/>
        <v>0</v>
      </c>
      <c r="J272">
        <f>$AE$28</f>
        <v>0.9</v>
      </c>
      <c r="L272">
        <f>$AE$56</f>
        <v>0.75</v>
      </c>
      <c r="M272">
        <f t="shared" si="79"/>
        <v>0.5948500000000001</v>
      </c>
      <c r="N272" s="2">
        <v>68</v>
      </c>
      <c r="O272" s="2">
        <v>68</v>
      </c>
      <c r="P272">
        <f t="shared" si="86"/>
        <v>1.6139528553516362</v>
      </c>
      <c r="Q272">
        <f t="shared" si="80"/>
        <v>0.80210130091638532</v>
      </c>
      <c r="R272">
        <f t="shared" si="87"/>
        <v>1</v>
      </c>
      <c r="S272">
        <f t="shared" si="81"/>
        <v>1.2945536848952621</v>
      </c>
      <c r="T272">
        <v>50</v>
      </c>
      <c r="U272">
        <f t="shared" si="82"/>
        <v>2.5917609276030932E-2</v>
      </c>
      <c r="V272">
        <f t="shared" si="83"/>
        <v>91.25</v>
      </c>
      <c r="W272">
        <f t="shared" si="84"/>
        <v>118.24909232189113</v>
      </c>
    </row>
    <row r="273" spans="1:23" x14ac:dyDescent="0.2">
      <c r="A273">
        <v>4</v>
      </c>
      <c r="C273" t="s">
        <v>75</v>
      </c>
      <c r="D273" t="s">
        <v>80</v>
      </c>
      <c r="E273">
        <v>95</v>
      </c>
      <c r="F273">
        <v>88</v>
      </c>
      <c r="G273">
        <f t="shared" si="88"/>
        <v>0.83599999999999997</v>
      </c>
      <c r="H273">
        <f>$AC$3</f>
        <v>1.3</v>
      </c>
      <c r="J273">
        <f>$AF$25</f>
        <v>4</v>
      </c>
      <c r="L273">
        <f>$AF$53</f>
        <v>0.7</v>
      </c>
      <c r="M273">
        <f t="shared" si="79"/>
        <v>0.55510000000000004</v>
      </c>
      <c r="N273" s="2">
        <v>67</v>
      </c>
      <c r="O273" s="2">
        <v>67</v>
      </c>
      <c r="P273">
        <f t="shared" si="86"/>
        <v>1.4914665181818776</v>
      </c>
      <c r="Q273">
        <f t="shared" si="80"/>
        <v>0.99999999999998734</v>
      </c>
      <c r="R273">
        <f t="shared" si="87"/>
        <v>1.2507999999999999</v>
      </c>
      <c r="S273">
        <f t="shared" si="81"/>
        <v>1.8655263209418687</v>
      </c>
      <c r="T273">
        <v>40</v>
      </c>
      <c r="U273">
        <f t="shared" si="82"/>
        <v>3.6651894833707128E-2</v>
      </c>
      <c r="V273">
        <f t="shared" si="83"/>
        <v>91.25</v>
      </c>
      <c r="W273">
        <f t="shared" si="84"/>
        <v>133.779416143031</v>
      </c>
    </row>
    <row r="274" spans="1:23" x14ac:dyDescent="0.2">
      <c r="D274" t="s">
        <v>81</v>
      </c>
      <c r="E274">
        <v>0</v>
      </c>
      <c r="F274">
        <v>0</v>
      </c>
      <c r="G274">
        <v>0</v>
      </c>
      <c r="J274">
        <f>$AF$26</f>
        <v>2.5</v>
      </c>
      <c r="L274">
        <f>$AF$54</f>
        <v>0.55000000000000004</v>
      </c>
      <c r="M274">
        <f t="shared" si="79"/>
        <v>0.43585000000000007</v>
      </c>
      <c r="N274" s="2">
        <v>66</v>
      </c>
      <c r="O274" s="2">
        <v>66</v>
      </c>
      <c r="P274">
        <f t="shared" si="86"/>
        <v>1.1785209149153895</v>
      </c>
      <c r="Q274">
        <f t="shared" si="80"/>
        <v>0.99999627334682795</v>
      </c>
      <c r="R274">
        <f t="shared" si="87"/>
        <v>1</v>
      </c>
      <c r="S274">
        <f t="shared" si="81"/>
        <v>1.1785165229766836</v>
      </c>
      <c r="T274">
        <v>45</v>
      </c>
      <c r="U274">
        <f t="shared" si="82"/>
        <v>2.3736110631961654E-2</v>
      </c>
      <c r="V274">
        <f t="shared" si="83"/>
        <v>91.25</v>
      </c>
      <c r="W274">
        <f t="shared" si="84"/>
        <v>97.466404282492547</v>
      </c>
    </row>
    <row r="275" spans="1:23" x14ac:dyDescent="0.2">
      <c r="D275" t="s">
        <v>82</v>
      </c>
      <c r="E275">
        <v>0</v>
      </c>
      <c r="F275">
        <v>0</v>
      </c>
      <c r="G275">
        <v>0</v>
      </c>
      <c r="J275">
        <f>$AF$27</f>
        <v>0.7</v>
      </c>
      <c r="L275">
        <f>$AF$55</f>
        <v>0.55000000000000004</v>
      </c>
      <c r="M275">
        <f t="shared" si="79"/>
        <v>0.43585000000000007</v>
      </c>
      <c r="N275" s="2">
        <v>65</v>
      </c>
      <c r="O275" s="2">
        <v>65</v>
      </c>
      <c r="P275">
        <f t="shared" si="86"/>
        <v>1.1580752413958724</v>
      </c>
      <c r="Q275">
        <f t="shared" si="80"/>
        <v>0.62468890114860043</v>
      </c>
      <c r="R275">
        <f t="shared" si="87"/>
        <v>1</v>
      </c>
      <c r="S275">
        <f t="shared" si="81"/>
        <v>0.72343674999498764</v>
      </c>
      <c r="T275">
        <v>40</v>
      </c>
      <c r="U275">
        <f t="shared" si="82"/>
        <v>1.5180610899905769E-2</v>
      </c>
      <c r="V275">
        <f t="shared" si="83"/>
        <v>91.25</v>
      </c>
      <c r="W275">
        <f t="shared" si="84"/>
        <v>55.409229784656056</v>
      </c>
    </row>
    <row r="276" spans="1:23" x14ac:dyDescent="0.2">
      <c r="D276" t="s">
        <v>83</v>
      </c>
      <c r="E276">
        <v>0</v>
      </c>
      <c r="F276">
        <v>0</v>
      </c>
      <c r="G276">
        <v>0</v>
      </c>
      <c r="J276">
        <f>$AF$28</f>
        <v>0.9</v>
      </c>
      <c r="L276">
        <f>$AF$56</f>
        <v>0.75</v>
      </c>
      <c r="M276">
        <f t="shared" si="79"/>
        <v>0.5948500000000001</v>
      </c>
      <c r="N276" s="2">
        <v>64</v>
      </c>
      <c r="O276" s="2">
        <v>64</v>
      </c>
      <c r="P276">
        <f t="shared" si="86"/>
        <v>1.5144257536366168</v>
      </c>
      <c r="Q276">
        <f t="shared" si="80"/>
        <v>0.80210130091638532</v>
      </c>
      <c r="R276">
        <f t="shared" si="87"/>
        <v>1</v>
      </c>
      <c r="S276">
        <f t="shared" si="81"/>
        <v>1.2147228671332075</v>
      </c>
      <c r="T276">
        <v>35</v>
      </c>
      <c r="U276">
        <f t="shared" si="82"/>
        <v>2.4416789902104306E-2</v>
      </c>
      <c r="V276">
        <f t="shared" si="83"/>
        <v>91.25</v>
      </c>
      <c r="W276">
        <f t="shared" si="84"/>
        <v>77.981122749845625</v>
      </c>
    </row>
    <row r="277" spans="1:23" x14ac:dyDescent="0.2">
      <c r="A277">
        <v>5</v>
      </c>
      <c r="C277" t="s">
        <v>76</v>
      </c>
      <c r="D277" t="s">
        <v>80</v>
      </c>
      <c r="E277">
        <v>0</v>
      </c>
      <c r="F277">
        <v>0</v>
      </c>
      <c r="G277">
        <v>0</v>
      </c>
      <c r="J277">
        <f>$AG$25</f>
        <v>4</v>
      </c>
      <c r="L277">
        <f>$AG$53</f>
        <v>0.7</v>
      </c>
      <c r="M277">
        <f t="shared" si="79"/>
        <v>0.55510000000000004</v>
      </c>
      <c r="N277" s="2">
        <v>63</v>
      </c>
      <c r="O277" s="2">
        <v>63</v>
      </c>
      <c r="P277">
        <f t="shared" si="86"/>
        <v>1.3967130257259237</v>
      </c>
      <c r="Q277">
        <f t="shared" si="80"/>
        <v>0.99999999999998734</v>
      </c>
      <c r="R277">
        <v>1</v>
      </c>
      <c r="S277">
        <f t="shared" si="81"/>
        <v>1.3967130257259059</v>
      </c>
      <c r="T277">
        <v>25</v>
      </c>
      <c r="U277">
        <f t="shared" si="82"/>
        <v>2.7838204883647036E-2</v>
      </c>
      <c r="V277">
        <f t="shared" si="83"/>
        <v>91.25</v>
      </c>
      <c r="W277">
        <f t="shared" si="84"/>
        <v>63.505904890819806</v>
      </c>
    </row>
    <row r="278" spans="1:23" x14ac:dyDescent="0.2">
      <c r="D278" t="s">
        <v>81</v>
      </c>
      <c r="E278">
        <v>0</v>
      </c>
      <c r="F278">
        <v>0</v>
      </c>
      <c r="G278">
        <v>0</v>
      </c>
      <c r="J278">
        <f>$AG$26</f>
        <v>2.5</v>
      </c>
      <c r="L278">
        <f>$AG$54</f>
        <v>0.55000000000000004</v>
      </c>
      <c r="M278">
        <f t="shared" si="79"/>
        <v>0.43585000000000007</v>
      </c>
      <c r="N278" s="2">
        <v>62</v>
      </c>
      <c r="O278" s="2">
        <v>62</v>
      </c>
      <c r="P278">
        <f t="shared" si="86"/>
        <v>1.0974026986740544</v>
      </c>
      <c r="Q278">
        <f t="shared" si="80"/>
        <v>0.99999627334682795</v>
      </c>
      <c r="R278">
        <v>1</v>
      </c>
      <c r="S278">
        <f t="shared" si="81"/>
        <v>1.0973986090348062</v>
      </c>
      <c r="T278">
        <v>30</v>
      </c>
      <c r="U278">
        <f t="shared" si="82"/>
        <v>2.2211093849854358E-2</v>
      </c>
      <c r="V278">
        <f t="shared" si="83"/>
        <v>91.25</v>
      </c>
      <c r="W278">
        <f t="shared" si="84"/>
        <v>60.802869413976303</v>
      </c>
    </row>
    <row r="279" spans="1:23" x14ac:dyDescent="0.2">
      <c r="D279" t="s">
        <v>82</v>
      </c>
      <c r="E279">
        <v>0</v>
      </c>
      <c r="F279">
        <v>0</v>
      </c>
      <c r="G279">
        <v>0</v>
      </c>
      <c r="J279">
        <f>$AG$27</f>
        <v>0.7</v>
      </c>
      <c r="L279">
        <f>$AG$55</f>
        <v>0.55000000000000004</v>
      </c>
      <c r="M279">
        <f t="shared" si="79"/>
        <v>0.43585000000000007</v>
      </c>
      <c r="N279" s="2">
        <v>61</v>
      </c>
      <c r="O279" s="2">
        <v>61</v>
      </c>
      <c r="P279">
        <f t="shared" si="86"/>
        <v>1.0773997799878814</v>
      </c>
      <c r="Q279">
        <f t="shared" si="80"/>
        <v>0.62468890114860043</v>
      </c>
      <c r="R279">
        <v>1</v>
      </c>
      <c r="S279">
        <f t="shared" si="81"/>
        <v>0.67303968465837349</v>
      </c>
      <c r="T279">
        <v>25</v>
      </c>
      <c r="U279">
        <f t="shared" si="82"/>
        <v>1.4233146071577421E-2</v>
      </c>
      <c r="V279">
        <f t="shared" si="83"/>
        <v>91.25</v>
      </c>
      <c r="W279">
        <f t="shared" si="84"/>
        <v>32.469364475785987</v>
      </c>
    </row>
    <row r="280" spans="1:23" x14ac:dyDescent="0.2">
      <c r="D280" t="s">
        <v>83</v>
      </c>
      <c r="E280">
        <v>0</v>
      </c>
      <c r="F280">
        <v>0</v>
      </c>
      <c r="G280">
        <v>0</v>
      </c>
      <c r="J280">
        <f>$AG$28</f>
        <v>0.9</v>
      </c>
      <c r="L280">
        <f>$AG$56</f>
        <v>0.75</v>
      </c>
      <c r="M280">
        <f t="shared" si="79"/>
        <v>0.5948500000000001</v>
      </c>
      <c r="N280" s="2">
        <v>60</v>
      </c>
      <c r="O280" s="2">
        <v>60</v>
      </c>
      <c r="P280">
        <f t="shared" si="86"/>
        <v>1.4163939481646182</v>
      </c>
      <c r="Q280">
        <f t="shared" si="80"/>
        <v>0.80210130091638532</v>
      </c>
      <c r="R280">
        <v>1</v>
      </c>
      <c r="S280">
        <f t="shared" si="81"/>
        <v>1.1360914284329355</v>
      </c>
      <c r="T280">
        <v>20</v>
      </c>
      <c r="U280">
        <f t="shared" si="82"/>
        <v>2.2938518854539191E-2</v>
      </c>
      <c r="V280">
        <f t="shared" si="83"/>
        <v>91.25</v>
      </c>
      <c r="W280">
        <f t="shared" si="84"/>
        <v>41.862796909534026</v>
      </c>
    </row>
    <row r="281" spans="1:23" x14ac:dyDescent="0.2">
      <c r="A281">
        <v>6</v>
      </c>
      <c r="C281" t="s">
        <v>77</v>
      </c>
      <c r="D281" t="s">
        <v>80</v>
      </c>
      <c r="E281">
        <v>0</v>
      </c>
      <c r="F281">
        <v>0</v>
      </c>
      <c r="G281">
        <v>0</v>
      </c>
      <c r="J281">
        <f>$AH$25</f>
        <v>4</v>
      </c>
      <c r="L281">
        <f>$AH$53</f>
        <v>0.7</v>
      </c>
      <c r="M281">
        <f t="shared" si="79"/>
        <v>0.55510000000000004</v>
      </c>
      <c r="N281" s="2">
        <v>59</v>
      </c>
      <c r="O281" s="2">
        <v>59</v>
      </c>
      <c r="P281">
        <f t="shared" si="86"/>
        <v>1.303518624930883</v>
      </c>
      <c r="Q281">
        <f t="shared" si="80"/>
        <v>0.99999999999998734</v>
      </c>
      <c r="R281">
        <v>1</v>
      </c>
      <c r="S281">
        <f t="shared" si="81"/>
        <v>1.3035186249308666</v>
      </c>
      <c r="T281">
        <v>15</v>
      </c>
      <c r="U281">
        <f t="shared" si="82"/>
        <v>2.6086150148700294E-2</v>
      </c>
      <c r="V281">
        <f t="shared" si="83"/>
        <v>91.25</v>
      </c>
      <c r="W281">
        <f t="shared" si="84"/>
        <v>35.705418016033526</v>
      </c>
    </row>
    <row r="282" spans="1:23" x14ac:dyDescent="0.2">
      <c r="D282" t="s">
        <v>81</v>
      </c>
      <c r="E282">
        <v>0</v>
      </c>
      <c r="F282">
        <v>0</v>
      </c>
      <c r="G282">
        <v>0</v>
      </c>
      <c r="J282">
        <f>$AH$26</f>
        <v>2.5</v>
      </c>
      <c r="L282">
        <f>$AH$54</f>
        <v>0.55000000000000004</v>
      </c>
      <c r="M282">
        <f t="shared" si="79"/>
        <v>0.43585000000000007</v>
      </c>
      <c r="N282" s="2">
        <v>58</v>
      </c>
      <c r="O282" s="2">
        <v>58</v>
      </c>
      <c r="P282">
        <f t="shared" si="86"/>
        <v>1.0180535015422809</v>
      </c>
      <c r="Q282">
        <f t="shared" si="80"/>
        <v>0.99999627334682795</v>
      </c>
      <c r="R282">
        <v>1</v>
      </c>
      <c r="S282">
        <f t="shared" si="81"/>
        <v>1.0180497076099702</v>
      </c>
      <c r="T282">
        <v>45</v>
      </c>
      <c r="U282">
        <f t="shared" si="82"/>
        <v>2.0719334503067441E-2</v>
      </c>
      <c r="V282">
        <f t="shared" si="83"/>
        <v>91.25</v>
      </c>
      <c r="W282">
        <f t="shared" si="84"/>
        <v>85.078767303220687</v>
      </c>
    </row>
    <row r="283" spans="1:23" x14ac:dyDescent="0.2">
      <c r="D283" t="s">
        <v>82</v>
      </c>
      <c r="E283">
        <v>0</v>
      </c>
      <c r="F283">
        <v>0</v>
      </c>
      <c r="G283">
        <v>0</v>
      </c>
      <c r="J283">
        <f>$AH$27</f>
        <v>0.7</v>
      </c>
      <c r="L283">
        <f>$AH$55</f>
        <v>0.55000000000000004</v>
      </c>
      <c r="M283">
        <f t="shared" si="79"/>
        <v>0.43585000000000007</v>
      </c>
      <c r="N283" s="2">
        <v>57</v>
      </c>
      <c r="O283" s="2">
        <v>57</v>
      </c>
      <c r="P283">
        <f t="shared" si="86"/>
        <v>0.99849183106675043</v>
      </c>
      <c r="Q283">
        <f t="shared" si="80"/>
        <v>0.62468890114860043</v>
      </c>
      <c r="R283">
        <v>1</v>
      </c>
      <c r="S283">
        <f t="shared" si="81"/>
        <v>0.62374676475494228</v>
      </c>
      <c r="T283">
        <v>40</v>
      </c>
      <c r="U283">
        <f t="shared" si="82"/>
        <v>1.3306439177392914E-2</v>
      </c>
      <c r="V283">
        <f t="shared" si="83"/>
        <v>91.25</v>
      </c>
      <c r="W283">
        <f t="shared" si="84"/>
        <v>48.568502997484138</v>
      </c>
    </row>
    <row r="284" spans="1:23" x14ac:dyDescent="0.2">
      <c r="D284" t="s">
        <v>83</v>
      </c>
      <c r="E284">
        <v>0</v>
      </c>
      <c r="F284">
        <v>0</v>
      </c>
      <c r="G284">
        <v>0</v>
      </c>
      <c r="J284">
        <f>$AH$28</f>
        <v>0.9</v>
      </c>
      <c r="L284">
        <f>$AH$56</f>
        <v>0.75</v>
      </c>
      <c r="M284">
        <f t="shared" si="79"/>
        <v>0.5948500000000001</v>
      </c>
      <c r="N284" s="2">
        <v>56</v>
      </c>
      <c r="O284" s="2">
        <v>56</v>
      </c>
      <c r="P284">
        <f t="shared" si="86"/>
        <v>1.3198285488795851</v>
      </c>
      <c r="Q284">
        <f t="shared" si="80"/>
        <v>0.80210130091638532</v>
      </c>
      <c r="R284">
        <v>1</v>
      </c>
      <c r="S284">
        <f t="shared" si="81"/>
        <v>1.0586361960429003</v>
      </c>
      <c r="T284">
        <v>30</v>
      </c>
      <c r="U284">
        <f t="shared" si="82"/>
        <v>2.1482360485606526E-2</v>
      </c>
      <c r="V284">
        <f t="shared" si="83"/>
        <v>91.25</v>
      </c>
      <c r="W284">
        <f t="shared" si="84"/>
        <v>58.807961829347867</v>
      </c>
    </row>
    <row r="291" spans="1:24" x14ac:dyDescent="0.2">
      <c r="A291" t="s">
        <v>109</v>
      </c>
      <c r="B291" t="s">
        <v>102</v>
      </c>
      <c r="C291" t="s">
        <v>72</v>
      </c>
      <c r="D291" t="s">
        <v>80</v>
      </c>
      <c r="E291">
        <v>0</v>
      </c>
      <c r="F291">
        <v>0</v>
      </c>
      <c r="G291">
        <v>0</v>
      </c>
      <c r="J291">
        <f>$AC$29</f>
        <v>2.5</v>
      </c>
      <c r="L291">
        <f>$AC$57</f>
        <v>0.75</v>
      </c>
      <c r="M291">
        <f>(0.795 * L291) - 0.0014</f>
        <v>0.5948500000000001</v>
      </c>
      <c r="O291">
        <f>$AC$84</f>
        <v>90</v>
      </c>
      <c r="P291">
        <f>(104.7 * M291 + 0.307 * O291- 15) * POWER(O291, 0.75) * 10^-3</f>
        <v>2.188901849330922</v>
      </c>
      <c r="Q291">
        <f>1-EXP(-2*POWER(J291,2))</f>
        <v>0.99999627334682795</v>
      </c>
      <c r="R291">
        <v>1</v>
      </c>
      <c r="S291">
        <f>P291 * Q291 * R291</f>
        <v>2.1888936920529019</v>
      </c>
      <c r="T291">
        <v>25</v>
      </c>
      <c r="U291">
        <f>(S291 * 0.0188) + 0.00158</f>
        <v>4.2731201410594555E-2</v>
      </c>
      <c r="V291">
        <f>$AC$4</f>
        <v>91.25</v>
      </c>
      <c r="W291">
        <f>T291*U291*V291</f>
        <v>97.480553217918825</v>
      </c>
      <c r="X291">
        <f>SUM(W291:W314)*10^-3</f>
        <v>1.732155183172819</v>
      </c>
    </row>
    <row r="292" spans="1:24" x14ac:dyDescent="0.2">
      <c r="D292" t="s">
        <v>81</v>
      </c>
      <c r="E292">
        <v>0</v>
      </c>
      <c r="F292">
        <v>0</v>
      </c>
      <c r="G292">
        <v>0</v>
      </c>
      <c r="J292">
        <f>$AC$30</f>
        <v>2.5</v>
      </c>
      <c r="L292">
        <f>$AC$58</f>
        <v>0.55000000000000004</v>
      </c>
      <c r="M292">
        <f t="shared" ref="M292:M314" si="89">(0.795 * L292) - 0.0014</f>
        <v>0.43585000000000007</v>
      </c>
      <c r="O292">
        <f>$AC$85</f>
        <v>90</v>
      </c>
      <c r="P292">
        <f>(104.7 * M292 + 0.307 * O292- 15) * POWER(O292, 0.75) * 10^-3</f>
        <v>1.7024658722949466</v>
      </c>
      <c r="Q292">
        <f t="shared" ref="Q292:Q314" si="90">1-EXP(-2*POWER(J292,2))</f>
        <v>0.99999627334682795</v>
      </c>
      <c r="R292">
        <v>1</v>
      </c>
      <c r="S292">
        <f t="shared" ref="S292:S314" si="91">P292 * Q292 * R292</f>
        <v>1.7024595277951033</v>
      </c>
      <c r="T292">
        <v>20</v>
      </c>
      <c r="U292">
        <f t="shared" ref="U292:U314" si="92">(S292 * 0.0188) + 0.00158</f>
        <v>3.3586239122547941E-2</v>
      </c>
      <c r="V292">
        <f t="shared" ref="V292:V314" si="93">$AC$4</f>
        <v>91.25</v>
      </c>
      <c r="W292">
        <f t="shared" ref="W292:W314" si="94">T292*U292*V292</f>
        <v>61.294886398649993</v>
      </c>
    </row>
    <row r="293" spans="1:24" x14ac:dyDescent="0.2">
      <c r="D293" t="s">
        <v>82</v>
      </c>
      <c r="E293">
        <v>0</v>
      </c>
      <c r="F293">
        <v>0</v>
      </c>
      <c r="G293">
        <v>0</v>
      </c>
      <c r="J293">
        <f>$AC$31</f>
        <v>1.3</v>
      </c>
      <c r="L293">
        <f>$AC$59</f>
        <v>0.67</v>
      </c>
      <c r="M293">
        <f t="shared" si="89"/>
        <v>0.53125000000000011</v>
      </c>
      <c r="O293">
        <f>$AC$86</f>
        <v>75</v>
      </c>
      <c r="P293">
        <f t="shared" ref="P293:P298" si="95">(104.7 * M293 + 0.307 * O293- 15) * POWER(O293, 0.75) * 10^-3</f>
        <v>1.6220828500688129</v>
      </c>
      <c r="Q293">
        <f t="shared" si="90"/>
        <v>0.96595254526540064</v>
      </c>
      <c r="R293">
        <v>1</v>
      </c>
      <c r="S293">
        <f t="shared" si="91"/>
        <v>1.5668550576553251</v>
      </c>
      <c r="T293">
        <v>19</v>
      </c>
      <c r="U293">
        <f t="shared" si="92"/>
        <v>3.1036875083920112E-2</v>
      </c>
      <c r="V293">
        <f t="shared" si="93"/>
        <v>91.25</v>
      </c>
      <c r="W293">
        <f t="shared" si="94"/>
        <v>53.810182176746501</v>
      </c>
    </row>
    <row r="294" spans="1:24" x14ac:dyDescent="0.2">
      <c r="D294" t="s">
        <v>83</v>
      </c>
      <c r="E294">
        <v>0</v>
      </c>
      <c r="F294">
        <v>0</v>
      </c>
      <c r="G294">
        <v>0</v>
      </c>
      <c r="J294">
        <f>$AC$32</f>
        <v>0.8</v>
      </c>
      <c r="L294">
        <f>$AC$60</f>
        <v>0.7</v>
      </c>
      <c r="M294">
        <f t="shared" si="89"/>
        <v>0.55510000000000004</v>
      </c>
      <c r="O294">
        <f>$AC$87</f>
        <v>75</v>
      </c>
      <c r="P294">
        <f t="shared" si="95"/>
        <v>1.6857229733976102</v>
      </c>
      <c r="Q294">
        <f t="shared" si="90"/>
        <v>0.72196269954680592</v>
      </c>
      <c r="R294">
        <v>1</v>
      </c>
      <c r="S294">
        <f t="shared" si="91"/>
        <v>1.2170291085622071</v>
      </c>
      <c r="T294">
        <v>25</v>
      </c>
      <c r="U294">
        <f t="shared" si="92"/>
        <v>2.4460147240969496E-2</v>
      </c>
      <c r="V294">
        <f t="shared" si="93"/>
        <v>91.25</v>
      </c>
      <c r="W294">
        <f t="shared" si="94"/>
        <v>55.799710893461658</v>
      </c>
    </row>
    <row r="295" spans="1:24" x14ac:dyDescent="0.2">
      <c r="A295">
        <v>2</v>
      </c>
      <c r="C295" t="s">
        <v>73</v>
      </c>
      <c r="D295" t="s">
        <v>80</v>
      </c>
      <c r="E295">
        <v>0</v>
      </c>
      <c r="F295">
        <v>0</v>
      </c>
      <c r="G295">
        <v>0</v>
      </c>
      <c r="J295">
        <f>$AD$29</f>
        <v>2.5</v>
      </c>
      <c r="L295">
        <f>$AD$57</f>
        <v>0.75</v>
      </c>
      <c r="M295">
        <f t="shared" si="89"/>
        <v>0.5948500000000001</v>
      </c>
      <c r="O295">
        <f>$AD$84</f>
        <v>55</v>
      </c>
      <c r="P295">
        <f t="shared" si="95"/>
        <v>1.2959122541335131</v>
      </c>
      <c r="Q295">
        <f t="shared" si="90"/>
        <v>0.99999627334682795</v>
      </c>
      <c r="R295">
        <v>1</v>
      </c>
      <c r="S295">
        <f t="shared" si="91"/>
        <v>1.2959074247180005</v>
      </c>
      <c r="T295">
        <v>50</v>
      </c>
      <c r="U295">
        <f t="shared" si="92"/>
        <v>2.5943059584698412E-2</v>
      </c>
      <c r="V295">
        <f t="shared" si="93"/>
        <v>91.25</v>
      </c>
      <c r="W295">
        <f t="shared" si="94"/>
        <v>118.36520935518651</v>
      </c>
    </row>
    <row r="296" spans="1:24" x14ac:dyDescent="0.2">
      <c r="D296" t="s">
        <v>81</v>
      </c>
      <c r="E296">
        <v>0</v>
      </c>
      <c r="F296">
        <v>0</v>
      </c>
      <c r="G296">
        <v>0</v>
      </c>
      <c r="J296">
        <f>$AD$30</f>
        <v>2.5</v>
      </c>
      <c r="L296">
        <f>$AD$58</f>
        <v>0.55000000000000004</v>
      </c>
      <c r="M296">
        <f t="shared" si="89"/>
        <v>0.43585000000000007</v>
      </c>
      <c r="O296">
        <f>$AD$85</f>
        <v>55</v>
      </c>
      <c r="P296">
        <f t="shared" si="95"/>
        <v>0.95969823125361531</v>
      </c>
      <c r="Q296">
        <f t="shared" si="90"/>
        <v>0.99999627334682795</v>
      </c>
      <c r="R296">
        <v>1</v>
      </c>
      <c r="S296">
        <f t="shared" si="91"/>
        <v>0.95969465479115756</v>
      </c>
      <c r="T296">
        <v>60</v>
      </c>
      <c r="U296">
        <f t="shared" si="92"/>
        <v>1.9622259510073764E-2</v>
      </c>
      <c r="V296">
        <f t="shared" si="93"/>
        <v>91.25</v>
      </c>
      <c r="W296">
        <f t="shared" si="94"/>
        <v>107.43187081765385</v>
      </c>
    </row>
    <row r="297" spans="1:24" x14ac:dyDescent="0.2">
      <c r="D297" t="s">
        <v>82</v>
      </c>
      <c r="E297">
        <v>0</v>
      </c>
      <c r="F297">
        <v>0</v>
      </c>
      <c r="G297">
        <v>0</v>
      </c>
      <c r="J297">
        <f>$AD$31</f>
        <v>1.3</v>
      </c>
      <c r="L297">
        <f>$AD$59</f>
        <v>0.67</v>
      </c>
      <c r="M297">
        <f t="shared" si="89"/>
        <v>0.53125000000000011</v>
      </c>
      <c r="O297">
        <f>$AD$86</f>
        <v>50</v>
      </c>
      <c r="P297">
        <f t="shared" si="95"/>
        <v>1.052440031254225</v>
      </c>
      <c r="Q297">
        <f t="shared" si="90"/>
        <v>0.96595254526540064</v>
      </c>
      <c r="R297">
        <v>1</v>
      </c>
      <c r="S297">
        <f t="shared" si="91"/>
        <v>1.0166071269292165</v>
      </c>
      <c r="T297">
        <v>55</v>
      </c>
      <c r="U297">
        <f t="shared" si="92"/>
        <v>2.0692213986269272E-2</v>
      </c>
      <c r="V297">
        <f t="shared" si="93"/>
        <v>91.25</v>
      </c>
      <c r="W297">
        <f t="shared" si="94"/>
        <v>103.8490489435889</v>
      </c>
    </row>
    <row r="298" spans="1:24" x14ac:dyDescent="0.2">
      <c r="D298" t="s">
        <v>83</v>
      </c>
      <c r="E298">
        <v>0</v>
      </c>
      <c r="F298">
        <v>0</v>
      </c>
      <c r="G298">
        <v>0</v>
      </c>
      <c r="J298">
        <f>$AD$32</f>
        <v>0.8</v>
      </c>
      <c r="L298">
        <f>$AD$60</f>
        <v>0.7</v>
      </c>
      <c r="M298">
        <f t="shared" si="89"/>
        <v>0.55510000000000004</v>
      </c>
      <c r="O298">
        <f>$AD$87</f>
        <v>45</v>
      </c>
      <c r="P298">
        <f t="shared" si="95"/>
        <v>0.98919258792655118</v>
      </c>
      <c r="Q298">
        <f t="shared" si="90"/>
        <v>0.72196269954680592</v>
      </c>
      <c r="R298">
        <v>1</v>
      </c>
      <c r="S298">
        <f t="shared" si="91"/>
        <v>0.71416015115114406</v>
      </c>
      <c r="T298">
        <v>55</v>
      </c>
      <c r="U298">
        <f t="shared" si="92"/>
        <v>1.5006210841641509E-2</v>
      </c>
      <c r="V298">
        <f t="shared" si="93"/>
        <v>91.25</v>
      </c>
      <c r="W298">
        <f t="shared" si="94"/>
        <v>75.312420661488332</v>
      </c>
    </row>
    <row r="299" spans="1:24" x14ac:dyDescent="0.2">
      <c r="A299">
        <v>3</v>
      </c>
      <c r="C299" t="s">
        <v>74</v>
      </c>
      <c r="D299" t="s">
        <v>80</v>
      </c>
      <c r="E299">
        <v>80</v>
      </c>
      <c r="F299">
        <v>87</v>
      </c>
      <c r="G299">
        <f>(E299/100*MIN(F299,100)/100)</f>
        <v>0.69600000000000006</v>
      </c>
      <c r="H299">
        <f>$AC$3</f>
        <v>1.3</v>
      </c>
      <c r="J299">
        <f>$AE$29</f>
        <v>2.5</v>
      </c>
      <c r="L299">
        <f>$AE$57</f>
        <v>0.75</v>
      </c>
      <c r="M299">
        <f t="shared" si="89"/>
        <v>0.5948500000000001</v>
      </c>
      <c r="O299">
        <f>$AE$84</f>
        <v>45</v>
      </c>
      <c r="P299">
        <f>(104.7 * M299 + 0.307 * O299- 15) * POWER(O299, 0.75) * 10^-3</f>
        <v>1.0615017285371116</v>
      </c>
      <c r="Q299">
        <f t="shared" si="90"/>
        <v>0.99999627334682795</v>
      </c>
      <c r="R299">
        <f>(G299 * H299) + (1 - G299)</f>
        <v>1.2088000000000001</v>
      </c>
      <c r="S299">
        <f t="shared" si="91"/>
        <v>1.2831385076256505</v>
      </c>
      <c r="T299">
        <v>60</v>
      </c>
      <c r="U299">
        <f t="shared" si="92"/>
        <v>2.5703003943362231E-2</v>
      </c>
      <c r="V299">
        <f t="shared" si="93"/>
        <v>91.25</v>
      </c>
      <c r="W299">
        <f t="shared" si="94"/>
        <v>140.72394658990822</v>
      </c>
    </row>
    <row r="300" spans="1:24" x14ac:dyDescent="0.2">
      <c r="D300" t="s">
        <v>81</v>
      </c>
      <c r="E300">
        <v>10</v>
      </c>
      <c r="F300">
        <v>8</v>
      </c>
      <c r="G300">
        <f>(E300/100*MIN(F300,100)/100)</f>
        <v>8.0000000000000002E-3</v>
      </c>
      <c r="H300">
        <f>$AC$3</f>
        <v>1.3</v>
      </c>
      <c r="J300">
        <f>$AE$30</f>
        <v>2.5</v>
      </c>
      <c r="L300">
        <f>$AE$58</f>
        <v>0.55000000000000004</v>
      </c>
      <c r="M300">
        <f t="shared" si="89"/>
        <v>0.43585000000000007</v>
      </c>
      <c r="O300">
        <f>$AE$85</f>
        <v>45</v>
      </c>
      <c r="P300">
        <f t="shared" ref="P300:P314" si="96">(104.7 * M300 + 0.307 * O300- 15) * POWER(O300, 0.75) * 10^-3</f>
        <v>0.77226516609487061</v>
      </c>
      <c r="Q300">
        <f t="shared" si="90"/>
        <v>0.99999627334682795</v>
      </c>
      <c r="R300">
        <f t="shared" ref="R300:R306" si="97">(G300 * H300) + (1 - G300)</f>
        <v>1.0024</v>
      </c>
      <c r="S300">
        <f t="shared" si="91"/>
        <v>0.77411571762195275</v>
      </c>
      <c r="T300">
        <v>70</v>
      </c>
      <c r="U300">
        <f t="shared" si="92"/>
        <v>1.6133375491292713E-2</v>
      </c>
      <c r="V300">
        <f t="shared" si="93"/>
        <v>91.25</v>
      </c>
      <c r="W300">
        <f t="shared" si="94"/>
        <v>103.05193595063221</v>
      </c>
    </row>
    <row r="301" spans="1:24" x14ac:dyDescent="0.2">
      <c r="D301" t="s">
        <v>82</v>
      </c>
      <c r="E301">
        <v>0</v>
      </c>
      <c r="F301">
        <v>0</v>
      </c>
      <c r="G301">
        <f t="shared" ref="G301:G304" si="98">(E301/100*MIN(F301,100)/100)</f>
        <v>0</v>
      </c>
      <c r="J301">
        <f>$AE$31</f>
        <v>1.3</v>
      </c>
      <c r="L301">
        <f>$AE$59</f>
        <v>0.67</v>
      </c>
      <c r="M301">
        <f t="shared" si="89"/>
        <v>0.53125000000000011</v>
      </c>
      <c r="O301">
        <f>$AE$86</f>
        <v>45</v>
      </c>
      <c r="P301">
        <f t="shared" si="96"/>
        <v>0.94580710356021536</v>
      </c>
      <c r="Q301">
        <f t="shared" si="90"/>
        <v>0.96595254526540064</v>
      </c>
      <c r="R301">
        <f t="shared" si="97"/>
        <v>1</v>
      </c>
      <c r="S301">
        <f t="shared" si="91"/>
        <v>0.91360477901408643</v>
      </c>
      <c r="T301">
        <v>60</v>
      </c>
      <c r="U301">
        <f t="shared" si="92"/>
        <v>1.8755769845464829E-2</v>
      </c>
      <c r="V301">
        <f t="shared" si="93"/>
        <v>91.25</v>
      </c>
      <c r="W301">
        <f t="shared" si="94"/>
        <v>102.68783990391994</v>
      </c>
    </row>
    <row r="302" spans="1:24" x14ac:dyDescent="0.2">
      <c r="D302" t="s">
        <v>83</v>
      </c>
      <c r="E302">
        <v>5</v>
      </c>
      <c r="F302">
        <v>4</v>
      </c>
      <c r="G302">
        <f t="shared" si="98"/>
        <v>2E-3</v>
      </c>
      <c r="H302">
        <f>$AC$3</f>
        <v>1.3</v>
      </c>
      <c r="J302">
        <f>$AE$32</f>
        <v>0.8</v>
      </c>
      <c r="L302">
        <f>$AE$60</f>
        <v>0.7</v>
      </c>
      <c r="M302">
        <f t="shared" si="89"/>
        <v>0.55510000000000004</v>
      </c>
      <c r="O302">
        <f>$AE$87</f>
        <v>50</v>
      </c>
      <c r="P302">
        <f t="shared" si="96"/>
        <v>1.0993929471578776</v>
      </c>
      <c r="Q302">
        <f t="shared" si="90"/>
        <v>0.72196269954680592</v>
      </c>
      <c r="R302">
        <f t="shared" si="97"/>
        <v>1.0005999999999999</v>
      </c>
      <c r="S302">
        <f t="shared" si="91"/>
        <v>0.79419693241281586</v>
      </c>
      <c r="T302">
        <v>50</v>
      </c>
      <c r="U302">
        <f t="shared" si="92"/>
        <v>1.6510902329360939E-2</v>
      </c>
      <c r="V302">
        <f t="shared" si="93"/>
        <v>91.25</v>
      </c>
      <c r="W302">
        <f t="shared" si="94"/>
        <v>75.33099187770928</v>
      </c>
    </row>
    <row r="303" spans="1:24" x14ac:dyDescent="0.2">
      <c r="A303">
        <v>4</v>
      </c>
      <c r="C303" t="s">
        <v>75</v>
      </c>
      <c r="D303" t="s">
        <v>80</v>
      </c>
      <c r="E303">
        <v>90</v>
      </c>
      <c r="F303">
        <v>87</v>
      </c>
      <c r="G303">
        <f t="shared" si="98"/>
        <v>0.78299999999999992</v>
      </c>
      <c r="H303">
        <f>$AC$3</f>
        <v>1.3</v>
      </c>
      <c r="J303">
        <f>$AF$29</f>
        <v>2.5</v>
      </c>
      <c r="L303">
        <f>$AF$57</f>
        <v>0.75</v>
      </c>
      <c r="M303">
        <f t="shared" si="89"/>
        <v>0.5948500000000001</v>
      </c>
      <c r="O303">
        <f>$AF$84</f>
        <v>50</v>
      </c>
      <c r="P303">
        <f t="shared" si="96"/>
        <v>1.1776478069972991</v>
      </c>
      <c r="Q303">
        <f t="shared" si="90"/>
        <v>0.99999627334682795</v>
      </c>
      <c r="R303">
        <f t="shared" si="97"/>
        <v>1.2349000000000001</v>
      </c>
      <c r="S303">
        <f t="shared" si="91"/>
        <v>1.4542718572739379</v>
      </c>
      <c r="T303">
        <v>40</v>
      </c>
      <c r="U303">
        <f t="shared" si="92"/>
        <v>2.8920310916750035E-2</v>
      </c>
      <c r="V303">
        <f t="shared" si="93"/>
        <v>91.25</v>
      </c>
      <c r="W303">
        <f t="shared" si="94"/>
        <v>105.55913484613764</v>
      </c>
    </row>
    <row r="304" spans="1:24" x14ac:dyDescent="0.2">
      <c r="D304" t="s">
        <v>81</v>
      </c>
      <c r="E304">
        <v>5</v>
      </c>
      <c r="F304">
        <v>3</v>
      </c>
      <c r="G304">
        <f t="shared" si="98"/>
        <v>1.5000000000000002E-3</v>
      </c>
      <c r="H304">
        <f>$AC$3</f>
        <v>1.3</v>
      </c>
      <c r="J304">
        <f>$AF$30</f>
        <v>2.5</v>
      </c>
      <c r="L304">
        <f>$AF$58</f>
        <v>0.55000000000000004</v>
      </c>
      <c r="M304">
        <f t="shared" si="89"/>
        <v>0.43585000000000007</v>
      </c>
      <c r="O304">
        <f>$AF$85</f>
        <v>50</v>
      </c>
      <c r="P304">
        <f t="shared" si="96"/>
        <v>0.8646283676396137</v>
      </c>
      <c r="Q304">
        <f t="shared" si="90"/>
        <v>0.99999627334682795</v>
      </c>
      <c r="R304">
        <f t="shared" si="97"/>
        <v>1.0004500000000001</v>
      </c>
      <c r="S304">
        <f t="shared" si="91"/>
        <v>0.86501422678502615</v>
      </c>
      <c r="T304">
        <v>45</v>
      </c>
      <c r="U304">
        <f t="shared" si="92"/>
        <v>1.7842267463558492E-2</v>
      </c>
      <c r="V304">
        <f t="shared" si="93"/>
        <v>91.25</v>
      </c>
      <c r="W304">
        <f t="shared" si="94"/>
        <v>73.26481077223707</v>
      </c>
    </row>
    <row r="305" spans="1:23" x14ac:dyDescent="0.2">
      <c r="D305" t="s">
        <v>82</v>
      </c>
      <c r="E305">
        <v>0</v>
      </c>
      <c r="F305">
        <v>0</v>
      </c>
      <c r="G305">
        <v>0</v>
      </c>
      <c r="J305">
        <f>$AF$31</f>
        <v>1.3</v>
      </c>
      <c r="L305">
        <f>$AF$59</f>
        <v>0.67</v>
      </c>
      <c r="M305">
        <f t="shared" si="89"/>
        <v>0.53125000000000011</v>
      </c>
      <c r="O305">
        <f>$AF$86</f>
        <v>50</v>
      </c>
      <c r="P305">
        <f t="shared" si="96"/>
        <v>1.052440031254225</v>
      </c>
      <c r="Q305">
        <f t="shared" si="90"/>
        <v>0.96595254526540064</v>
      </c>
      <c r="R305">
        <f t="shared" si="97"/>
        <v>1</v>
      </c>
      <c r="S305">
        <f t="shared" si="91"/>
        <v>1.0166071269292165</v>
      </c>
      <c r="T305">
        <v>40</v>
      </c>
      <c r="U305">
        <f t="shared" si="92"/>
        <v>2.0692213986269272E-2</v>
      </c>
      <c r="V305">
        <f t="shared" si="93"/>
        <v>91.25</v>
      </c>
      <c r="W305">
        <f t="shared" si="94"/>
        <v>75.52658104988285</v>
      </c>
    </row>
    <row r="306" spans="1:23" x14ac:dyDescent="0.2">
      <c r="D306" t="s">
        <v>83</v>
      </c>
      <c r="E306">
        <v>0</v>
      </c>
      <c r="F306">
        <v>0</v>
      </c>
      <c r="G306">
        <v>0</v>
      </c>
      <c r="J306">
        <f>$AF$32</f>
        <v>0.8</v>
      </c>
      <c r="L306">
        <f>$AF$60</f>
        <v>0.7</v>
      </c>
      <c r="M306">
        <f t="shared" si="89"/>
        <v>0.55510000000000004</v>
      </c>
      <c r="O306">
        <f>$AF$87</f>
        <v>55</v>
      </c>
      <c r="P306">
        <f t="shared" si="96"/>
        <v>1.2118587484135388</v>
      </c>
      <c r="Q306">
        <f t="shared" si="90"/>
        <v>0.72196269954680592</v>
      </c>
      <c r="R306">
        <f t="shared" si="97"/>
        <v>1</v>
      </c>
      <c r="S306">
        <f t="shared" si="91"/>
        <v>0.87491681347405192</v>
      </c>
      <c r="T306">
        <v>35</v>
      </c>
      <c r="U306">
        <f t="shared" si="92"/>
        <v>1.8028436093312179E-2</v>
      </c>
      <c r="V306">
        <f t="shared" si="93"/>
        <v>91.25</v>
      </c>
      <c r="W306">
        <f t="shared" si="94"/>
        <v>57.578317773015769</v>
      </c>
    </row>
    <row r="307" spans="1:23" x14ac:dyDescent="0.2">
      <c r="A307">
        <v>5</v>
      </c>
      <c r="C307" t="s">
        <v>76</v>
      </c>
      <c r="D307" t="s">
        <v>80</v>
      </c>
      <c r="E307">
        <v>0</v>
      </c>
      <c r="F307">
        <v>0</v>
      </c>
      <c r="G307">
        <v>0</v>
      </c>
      <c r="J307">
        <f>$AG$29</f>
        <v>2.5</v>
      </c>
      <c r="L307">
        <f>$AG$57</f>
        <v>0.75</v>
      </c>
      <c r="M307">
        <f t="shared" si="89"/>
        <v>0.5948500000000001</v>
      </c>
      <c r="O307">
        <f>$AG$84</f>
        <v>50</v>
      </c>
      <c r="P307">
        <f t="shared" si="96"/>
        <v>1.1776478069972991</v>
      </c>
      <c r="Q307">
        <f t="shared" si="90"/>
        <v>0.99999627334682795</v>
      </c>
      <c r="R307">
        <v>1</v>
      </c>
      <c r="S307">
        <f t="shared" si="91"/>
        <v>1.1776434183123636</v>
      </c>
      <c r="T307">
        <v>25</v>
      </c>
      <c r="U307">
        <f t="shared" si="92"/>
        <v>2.3719696264272439E-2</v>
      </c>
      <c r="V307">
        <f t="shared" si="93"/>
        <v>91.25</v>
      </c>
      <c r="W307">
        <f t="shared" si="94"/>
        <v>54.110557102871503</v>
      </c>
    </row>
    <row r="308" spans="1:23" x14ac:dyDescent="0.2">
      <c r="D308" t="s">
        <v>81</v>
      </c>
      <c r="E308">
        <v>0</v>
      </c>
      <c r="F308">
        <v>0</v>
      </c>
      <c r="G308">
        <v>0</v>
      </c>
      <c r="J308">
        <f>$AG$30</f>
        <v>2.5</v>
      </c>
      <c r="L308">
        <f>$AG$58</f>
        <v>0.55000000000000004</v>
      </c>
      <c r="M308">
        <f t="shared" si="89"/>
        <v>0.43585000000000007</v>
      </c>
      <c r="O308">
        <f>$AG$85</f>
        <v>50</v>
      </c>
      <c r="P308">
        <f t="shared" si="96"/>
        <v>0.8646283676396137</v>
      </c>
      <c r="Q308">
        <f t="shared" si="90"/>
        <v>0.99999627334682795</v>
      </c>
      <c r="R308">
        <v>1</v>
      </c>
      <c r="S308">
        <f t="shared" si="91"/>
        <v>0.86462514546956482</v>
      </c>
      <c r="T308">
        <v>30</v>
      </c>
      <c r="U308">
        <f t="shared" si="92"/>
        <v>1.7834952734827821E-2</v>
      </c>
      <c r="V308">
        <f t="shared" si="93"/>
        <v>91.25</v>
      </c>
      <c r="W308">
        <f t="shared" si="94"/>
        <v>48.823183111591163</v>
      </c>
    </row>
    <row r="309" spans="1:23" x14ac:dyDescent="0.2">
      <c r="D309" t="s">
        <v>82</v>
      </c>
      <c r="E309">
        <v>0</v>
      </c>
      <c r="F309">
        <v>0</v>
      </c>
      <c r="G309">
        <v>0</v>
      </c>
      <c r="J309">
        <f>$AG$31</f>
        <v>1.3</v>
      </c>
      <c r="L309">
        <f>$AG$59</f>
        <v>0.67</v>
      </c>
      <c r="M309">
        <f t="shared" si="89"/>
        <v>0.53125000000000011</v>
      </c>
      <c r="O309">
        <f>$AG$86</f>
        <v>50</v>
      </c>
      <c r="P309">
        <f t="shared" si="96"/>
        <v>1.052440031254225</v>
      </c>
      <c r="Q309">
        <f t="shared" si="90"/>
        <v>0.96595254526540064</v>
      </c>
      <c r="R309">
        <v>1</v>
      </c>
      <c r="S309">
        <f t="shared" si="91"/>
        <v>1.0166071269292165</v>
      </c>
      <c r="T309">
        <v>25</v>
      </c>
      <c r="U309">
        <f t="shared" si="92"/>
        <v>2.0692213986269272E-2</v>
      </c>
      <c r="V309">
        <f t="shared" si="93"/>
        <v>91.25</v>
      </c>
      <c r="W309">
        <f t="shared" si="94"/>
        <v>47.204113156176774</v>
      </c>
    </row>
    <row r="310" spans="1:23" x14ac:dyDescent="0.2">
      <c r="D310" t="s">
        <v>83</v>
      </c>
      <c r="E310">
        <v>0</v>
      </c>
      <c r="F310">
        <v>0</v>
      </c>
      <c r="G310">
        <v>0</v>
      </c>
      <c r="J310">
        <f>$AG$32</f>
        <v>0.8</v>
      </c>
      <c r="L310">
        <f>$AG$60</f>
        <v>0.7</v>
      </c>
      <c r="M310">
        <f t="shared" si="89"/>
        <v>0.55510000000000004</v>
      </c>
      <c r="O310">
        <f>$AG$87</f>
        <v>50</v>
      </c>
      <c r="P310">
        <f t="shared" si="96"/>
        <v>1.0993929471578776</v>
      </c>
      <c r="Q310">
        <f t="shared" si="90"/>
        <v>0.72196269954680592</v>
      </c>
      <c r="R310">
        <v>1</v>
      </c>
      <c r="S310">
        <f t="shared" si="91"/>
        <v>0.79372069999282024</v>
      </c>
      <c r="T310">
        <v>20</v>
      </c>
      <c r="U310">
        <f t="shared" si="92"/>
        <v>1.6501949159865022E-2</v>
      </c>
      <c r="V310">
        <f t="shared" si="93"/>
        <v>91.25</v>
      </c>
      <c r="W310">
        <f t="shared" si="94"/>
        <v>30.116057216753667</v>
      </c>
    </row>
    <row r="311" spans="1:23" x14ac:dyDescent="0.2">
      <c r="A311">
        <v>6</v>
      </c>
      <c r="C311" t="s">
        <v>77</v>
      </c>
      <c r="D311" t="s">
        <v>80</v>
      </c>
      <c r="E311">
        <v>0</v>
      </c>
      <c r="F311">
        <v>0</v>
      </c>
      <c r="G311">
        <v>0</v>
      </c>
      <c r="J311">
        <f>$AH$29</f>
        <v>2.5</v>
      </c>
      <c r="L311">
        <f>$AH$57</f>
        <v>0.75</v>
      </c>
      <c r="M311">
        <f t="shared" si="89"/>
        <v>0.5948500000000001</v>
      </c>
      <c r="O311">
        <f>$AH$84</f>
        <v>14</v>
      </c>
      <c r="P311">
        <f t="shared" si="96"/>
        <v>0.3733079325984448</v>
      </c>
      <c r="Q311">
        <f t="shared" si="90"/>
        <v>0.99999627334682795</v>
      </c>
      <c r="R311">
        <v>1</v>
      </c>
      <c r="S311">
        <f t="shared" si="91"/>
        <v>0.37330654140925362</v>
      </c>
      <c r="T311">
        <v>15</v>
      </c>
      <c r="U311">
        <f t="shared" si="92"/>
        <v>8.5981629784939693E-3</v>
      </c>
      <c r="V311">
        <f t="shared" si="93"/>
        <v>91.25</v>
      </c>
      <c r="W311">
        <f t="shared" si="94"/>
        <v>11.76873557681362</v>
      </c>
    </row>
    <row r="312" spans="1:23" x14ac:dyDescent="0.2">
      <c r="D312" t="s">
        <v>81</v>
      </c>
      <c r="E312">
        <v>0</v>
      </c>
      <c r="F312">
        <v>0</v>
      </c>
      <c r="G312">
        <v>0</v>
      </c>
      <c r="J312">
        <f>$AH$30</f>
        <v>2.5</v>
      </c>
      <c r="L312">
        <f>$AH$58</f>
        <v>0.55000000000000004</v>
      </c>
      <c r="M312">
        <f t="shared" si="89"/>
        <v>0.43585000000000007</v>
      </c>
      <c r="O312">
        <f>$AH$85</f>
        <v>24</v>
      </c>
      <c r="P312">
        <f t="shared" si="96"/>
        <v>0.41205872426603418</v>
      </c>
      <c r="Q312">
        <f t="shared" si="90"/>
        <v>0.99999627334682795</v>
      </c>
      <c r="R312">
        <v>1</v>
      </c>
      <c r="S312">
        <f t="shared" si="91"/>
        <v>0.41205718866608232</v>
      </c>
      <c r="T312">
        <v>45</v>
      </c>
      <c r="U312">
        <f t="shared" si="92"/>
        <v>9.3266751469223488E-3</v>
      </c>
      <c r="V312">
        <f t="shared" si="93"/>
        <v>91.25</v>
      </c>
      <c r="W312">
        <f t="shared" si="94"/>
        <v>38.297659822049894</v>
      </c>
    </row>
    <row r="313" spans="1:23" x14ac:dyDescent="0.2">
      <c r="D313" t="s">
        <v>82</v>
      </c>
      <c r="E313">
        <v>0</v>
      </c>
      <c r="F313">
        <v>0</v>
      </c>
      <c r="G313">
        <v>0</v>
      </c>
      <c r="J313">
        <f>$AH$31</f>
        <v>1.3</v>
      </c>
      <c r="L313">
        <f>$AH$59</f>
        <v>0.67</v>
      </c>
      <c r="M313">
        <f t="shared" si="89"/>
        <v>0.53125000000000011</v>
      </c>
      <c r="O313">
        <f>$AH$86</f>
        <v>36</v>
      </c>
      <c r="P313">
        <f t="shared" si="96"/>
        <v>0.75944776069416087</v>
      </c>
      <c r="Q313">
        <f t="shared" si="90"/>
        <v>0.96595254526540064</v>
      </c>
      <c r="R313">
        <v>1</v>
      </c>
      <c r="S313">
        <f t="shared" si="91"/>
        <v>0.73359049743863358</v>
      </c>
      <c r="T313">
        <v>40</v>
      </c>
      <c r="U313">
        <f t="shared" si="92"/>
        <v>1.5371501351846312E-2</v>
      </c>
      <c r="V313">
        <f t="shared" si="93"/>
        <v>91.25</v>
      </c>
      <c r="W313">
        <f t="shared" si="94"/>
        <v>56.105979934239038</v>
      </c>
    </row>
    <row r="314" spans="1:23" x14ac:dyDescent="0.2">
      <c r="D314" t="s">
        <v>83</v>
      </c>
      <c r="E314">
        <v>0</v>
      </c>
      <c r="F314">
        <v>0</v>
      </c>
      <c r="G314">
        <v>0</v>
      </c>
      <c r="J314">
        <f>$AH$32</f>
        <v>0.8</v>
      </c>
      <c r="L314">
        <f>$AH$60</f>
        <v>0.7</v>
      </c>
      <c r="M314">
        <f t="shared" si="89"/>
        <v>0.55510000000000004</v>
      </c>
      <c r="O314">
        <f>$AH$87</f>
        <v>42</v>
      </c>
      <c r="P314">
        <f t="shared" si="96"/>
        <v>0.92411404077093851</v>
      </c>
      <c r="Q314">
        <f t="shared" si="90"/>
        <v>0.72196269954680592</v>
      </c>
      <c r="R314">
        <v>1</v>
      </c>
      <c r="S314">
        <f t="shared" si="91"/>
        <v>0.66717586756409386</v>
      </c>
      <c r="T314">
        <v>30</v>
      </c>
      <c r="U314">
        <f t="shared" si="92"/>
        <v>1.4122906310204965E-2</v>
      </c>
      <c r="V314">
        <f t="shared" si="93"/>
        <v>91.25</v>
      </c>
      <c r="W314">
        <f t="shared" si="94"/>
        <v>38.661456024186094</v>
      </c>
    </row>
  </sheetData>
  <pageMargins left="0.7" right="0.7" top="0.75" bottom="0.75" header="0.3" footer="0.3"/>
  <ignoredErrors>
    <ignoredError sqref="O2:W10 H11 M11 U11 L2:M10 J2:J10 E2:H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3.4.1.1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2026-04-30T11:19:49Z</dcterms:created>
  <dcterms:modified xsi:type="dcterms:W3CDTF">2026-05-04T01:07:44Z</dcterms:modified>
</cp:coreProperties>
</file>