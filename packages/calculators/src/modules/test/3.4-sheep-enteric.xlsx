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6AC5A6E4-D5E1-564B-8B69-5F8E1D530314}" xr6:coauthVersionLast="47" xr6:coauthVersionMax="47" xr10:uidLastSave="{00000000-0000-0000-0000-000000000000}"/>
  <bookViews>
    <workbookView xWindow="51200" yWindow="12780" windowWidth="28800" windowHeight="18980" xr2:uid="{00000000-000D-0000-FFFF-FFFF00000000}"/>
  </bookViews>
  <sheets>
    <sheet name="3.4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51" i="1" l="1"/>
  <c r="Z343" i="1"/>
  <c r="Z334" i="1"/>
  <c r="M366" i="1"/>
  <c r="N366" i="1"/>
  <c r="M339" i="1"/>
  <c r="M340" i="1"/>
  <c r="M341" i="1"/>
  <c r="N341" i="1" s="1"/>
  <c r="M342" i="1"/>
  <c r="N342" i="1" s="1"/>
  <c r="M331" i="1"/>
  <c r="N331" i="1" s="1"/>
  <c r="M332" i="1"/>
  <c r="N332" i="1" s="1"/>
  <c r="M333" i="1"/>
  <c r="N333" i="1" s="1"/>
  <c r="M334" i="1"/>
  <c r="N334" i="1" s="1"/>
  <c r="M335" i="1"/>
  <c r="N335" i="1" s="1"/>
  <c r="N340" i="1"/>
  <c r="M336" i="1"/>
  <c r="N336" i="1" s="1"/>
  <c r="M337" i="1"/>
  <c r="N337" i="1" s="1"/>
  <c r="M338" i="1"/>
  <c r="N338" i="1" s="1"/>
  <c r="K373" i="1"/>
  <c r="R373" i="1" s="1"/>
  <c r="M373" i="1"/>
  <c r="N373" i="1" s="1"/>
  <c r="P373" i="1"/>
  <c r="K374" i="1"/>
  <c r="R374" i="1" s="1"/>
  <c r="M374" i="1"/>
  <c r="N374" i="1" s="1"/>
  <c r="P374" i="1"/>
  <c r="K370" i="1"/>
  <c r="R370" i="1" s="1"/>
  <c r="M370" i="1"/>
  <c r="N370" i="1" s="1"/>
  <c r="P370" i="1"/>
  <c r="K371" i="1"/>
  <c r="R371" i="1" s="1"/>
  <c r="M371" i="1"/>
  <c r="N371" i="1" s="1"/>
  <c r="P371" i="1"/>
  <c r="K367" i="1"/>
  <c r="R367" i="1" s="1"/>
  <c r="M367" i="1"/>
  <c r="N367" i="1" s="1"/>
  <c r="P367" i="1"/>
  <c r="K368" i="1"/>
  <c r="R368" i="1" s="1"/>
  <c r="M368" i="1"/>
  <c r="N368" i="1" s="1"/>
  <c r="P368" i="1"/>
  <c r="K376" i="1"/>
  <c r="R376" i="1" s="1"/>
  <c r="M376" i="1"/>
  <c r="N376" i="1" s="1"/>
  <c r="P376" i="1"/>
  <c r="K377" i="1"/>
  <c r="R377" i="1" s="1"/>
  <c r="M377" i="1"/>
  <c r="N377" i="1" s="1"/>
  <c r="P377" i="1"/>
  <c r="K361" i="1"/>
  <c r="R361" i="1" s="1"/>
  <c r="M361" i="1"/>
  <c r="N361" i="1" s="1"/>
  <c r="P361" i="1"/>
  <c r="K362" i="1"/>
  <c r="R362" i="1" s="1"/>
  <c r="M362" i="1"/>
  <c r="N362" i="1" s="1"/>
  <c r="P362" i="1"/>
  <c r="K358" i="1"/>
  <c r="R358" i="1" s="1"/>
  <c r="M358" i="1"/>
  <c r="N358" i="1" s="1"/>
  <c r="P358" i="1"/>
  <c r="K359" i="1"/>
  <c r="R359" i="1" s="1"/>
  <c r="M359" i="1"/>
  <c r="N359" i="1" s="1"/>
  <c r="Q359" i="1" s="1"/>
  <c r="P359" i="1"/>
  <c r="K355" i="1"/>
  <c r="R355" i="1" s="1"/>
  <c r="M355" i="1"/>
  <c r="N355" i="1" s="1"/>
  <c r="P355" i="1"/>
  <c r="K356" i="1"/>
  <c r="R356" i="1" s="1"/>
  <c r="M356" i="1"/>
  <c r="N356" i="1" s="1"/>
  <c r="P356" i="1"/>
  <c r="K364" i="1"/>
  <c r="R364" i="1" s="1"/>
  <c r="M364" i="1"/>
  <c r="N364" i="1" s="1"/>
  <c r="P364" i="1"/>
  <c r="K365" i="1"/>
  <c r="R365" i="1" s="1"/>
  <c r="M365" i="1"/>
  <c r="N365" i="1" s="1"/>
  <c r="P365" i="1"/>
  <c r="K349" i="1"/>
  <c r="R349" i="1" s="1"/>
  <c r="M349" i="1"/>
  <c r="N349" i="1" s="1"/>
  <c r="P349" i="1"/>
  <c r="K350" i="1"/>
  <c r="R350" i="1" s="1"/>
  <c r="M350" i="1"/>
  <c r="N350" i="1" s="1"/>
  <c r="P350" i="1"/>
  <c r="K346" i="1"/>
  <c r="R346" i="1" s="1"/>
  <c r="M346" i="1"/>
  <c r="N346" i="1" s="1"/>
  <c r="P346" i="1"/>
  <c r="K347" i="1"/>
  <c r="R347" i="1" s="1"/>
  <c r="M347" i="1"/>
  <c r="N347" i="1" s="1"/>
  <c r="P347" i="1"/>
  <c r="K343" i="1"/>
  <c r="R343" i="1" s="1"/>
  <c r="M343" i="1"/>
  <c r="N343" i="1" s="1"/>
  <c r="P343" i="1"/>
  <c r="K344" i="1"/>
  <c r="R344" i="1" s="1"/>
  <c r="M344" i="1"/>
  <c r="N344" i="1" s="1"/>
  <c r="P344" i="1"/>
  <c r="K352" i="1"/>
  <c r="R352" i="1" s="1"/>
  <c r="M352" i="1"/>
  <c r="N352" i="1" s="1"/>
  <c r="P352" i="1"/>
  <c r="K353" i="1"/>
  <c r="R353" i="1" s="1"/>
  <c r="M353" i="1"/>
  <c r="N353" i="1" s="1"/>
  <c r="P353" i="1"/>
  <c r="K337" i="1"/>
  <c r="R337" i="1" s="1"/>
  <c r="P337" i="1"/>
  <c r="K338" i="1"/>
  <c r="R338" i="1" s="1"/>
  <c r="P338" i="1"/>
  <c r="K334" i="1"/>
  <c r="R334" i="1" s="1"/>
  <c r="P334" i="1"/>
  <c r="K335" i="1"/>
  <c r="R335" i="1" s="1"/>
  <c r="P335" i="1"/>
  <c r="K331" i="1"/>
  <c r="R331" i="1" s="1"/>
  <c r="P331" i="1"/>
  <c r="K332" i="1"/>
  <c r="R332" i="1" s="1"/>
  <c r="P332" i="1"/>
  <c r="K340" i="1"/>
  <c r="R340" i="1" s="1"/>
  <c r="P340" i="1"/>
  <c r="K341" i="1"/>
  <c r="R341" i="1" s="1"/>
  <c r="P341" i="1"/>
  <c r="I364" i="1"/>
  <c r="I365" i="1"/>
  <c r="H366" i="1"/>
  <c r="H355" i="1"/>
  <c r="S355" i="1" s="1"/>
  <c r="H356" i="1"/>
  <c r="S356" i="1" s="1"/>
  <c r="H357" i="1"/>
  <c r="S357" i="1" s="1"/>
  <c r="H358" i="1"/>
  <c r="S358" i="1" s="1"/>
  <c r="H359" i="1"/>
  <c r="S359" i="1" s="1"/>
  <c r="H360" i="1"/>
  <c r="S360" i="1" s="1"/>
  <c r="H361" i="1"/>
  <c r="S361" i="1" s="1"/>
  <c r="H362" i="1"/>
  <c r="S362" i="1" s="1"/>
  <c r="H375" i="1"/>
  <c r="H376" i="1"/>
  <c r="H377" i="1"/>
  <c r="H378" i="1"/>
  <c r="H367" i="1"/>
  <c r="H368" i="1"/>
  <c r="H369" i="1"/>
  <c r="H370" i="1"/>
  <c r="H371" i="1"/>
  <c r="H372" i="1"/>
  <c r="H373" i="1"/>
  <c r="H374" i="1"/>
  <c r="H364" i="1"/>
  <c r="H365" i="1"/>
  <c r="H339" i="1"/>
  <c r="H340" i="1"/>
  <c r="H341" i="1"/>
  <c r="H342" i="1"/>
  <c r="H331" i="1"/>
  <c r="H332" i="1"/>
  <c r="H333" i="1"/>
  <c r="H334" i="1"/>
  <c r="H335" i="1"/>
  <c r="H336" i="1"/>
  <c r="H337" i="1"/>
  <c r="H338" i="1"/>
  <c r="H351" i="1"/>
  <c r="H352" i="1"/>
  <c r="H353" i="1"/>
  <c r="H354" i="1"/>
  <c r="H343" i="1"/>
  <c r="H344" i="1"/>
  <c r="H345" i="1"/>
  <c r="H346" i="1"/>
  <c r="H347" i="1"/>
  <c r="H348" i="1"/>
  <c r="H349" i="1"/>
  <c r="H350" i="1"/>
  <c r="P372" i="1"/>
  <c r="M372" i="1"/>
  <c r="N372" i="1" s="1"/>
  <c r="K372" i="1"/>
  <c r="R372" i="1" s="1"/>
  <c r="P369" i="1"/>
  <c r="M369" i="1"/>
  <c r="N369" i="1" s="1"/>
  <c r="K369" i="1"/>
  <c r="R369" i="1" s="1"/>
  <c r="P378" i="1"/>
  <c r="M378" i="1"/>
  <c r="N378" i="1" s="1"/>
  <c r="K378" i="1"/>
  <c r="R378" i="1" s="1"/>
  <c r="P375" i="1"/>
  <c r="M375" i="1"/>
  <c r="N375" i="1" s="1"/>
  <c r="K375" i="1"/>
  <c r="R375" i="1" s="1"/>
  <c r="P360" i="1"/>
  <c r="M360" i="1"/>
  <c r="N360" i="1" s="1"/>
  <c r="K360" i="1"/>
  <c r="R360" i="1" s="1"/>
  <c r="P357" i="1"/>
  <c r="M357" i="1"/>
  <c r="N357" i="1" s="1"/>
  <c r="K357" i="1"/>
  <c r="R357" i="1" s="1"/>
  <c r="P366" i="1"/>
  <c r="K366" i="1"/>
  <c r="R366" i="1" s="1"/>
  <c r="I366" i="1"/>
  <c r="P363" i="1"/>
  <c r="M363" i="1"/>
  <c r="N363" i="1" s="1"/>
  <c r="K363" i="1"/>
  <c r="R363" i="1" s="1"/>
  <c r="I363" i="1"/>
  <c r="H363" i="1"/>
  <c r="P348" i="1"/>
  <c r="M348" i="1"/>
  <c r="N348" i="1" s="1"/>
  <c r="K348" i="1"/>
  <c r="R348" i="1" s="1"/>
  <c r="P345" i="1"/>
  <c r="M345" i="1"/>
  <c r="N345" i="1" s="1"/>
  <c r="K345" i="1"/>
  <c r="R345" i="1" s="1"/>
  <c r="P354" i="1"/>
  <c r="M354" i="1"/>
  <c r="N354" i="1" s="1"/>
  <c r="K354" i="1"/>
  <c r="R354" i="1" s="1"/>
  <c r="P351" i="1"/>
  <c r="M351" i="1"/>
  <c r="N351" i="1" s="1"/>
  <c r="K351" i="1"/>
  <c r="R351" i="1" s="1"/>
  <c r="P336" i="1"/>
  <c r="K336" i="1"/>
  <c r="R336" i="1" s="1"/>
  <c r="P333" i="1"/>
  <c r="K333" i="1"/>
  <c r="R333" i="1" s="1"/>
  <c r="P342" i="1"/>
  <c r="K342" i="1"/>
  <c r="R342" i="1" s="1"/>
  <c r="P339" i="1"/>
  <c r="N339" i="1"/>
  <c r="K339" i="1"/>
  <c r="R339" i="1" s="1"/>
  <c r="I304" i="1"/>
  <c r="I302" i="1"/>
  <c r="I300" i="1"/>
  <c r="H304" i="1"/>
  <c r="X314" i="1"/>
  <c r="P314" i="1"/>
  <c r="M314" i="1"/>
  <c r="N314" i="1" s="1"/>
  <c r="K314" i="1"/>
  <c r="R314" i="1" s="1"/>
  <c r="X313" i="1"/>
  <c r="P313" i="1"/>
  <c r="M313" i="1"/>
  <c r="N313" i="1" s="1"/>
  <c r="K313" i="1"/>
  <c r="R313" i="1" s="1"/>
  <c r="X312" i="1"/>
  <c r="P312" i="1"/>
  <c r="M312" i="1"/>
  <c r="N312" i="1" s="1"/>
  <c r="K312" i="1"/>
  <c r="R312" i="1" s="1"/>
  <c r="X311" i="1"/>
  <c r="P311" i="1"/>
  <c r="M311" i="1"/>
  <c r="N311" i="1" s="1"/>
  <c r="K311" i="1"/>
  <c r="R311" i="1" s="1"/>
  <c r="X310" i="1"/>
  <c r="P310" i="1"/>
  <c r="M310" i="1"/>
  <c r="N310" i="1" s="1"/>
  <c r="K310" i="1"/>
  <c r="R310" i="1" s="1"/>
  <c r="X309" i="1"/>
  <c r="P309" i="1"/>
  <c r="M309" i="1"/>
  <c r="N309" i="1" s="1"/>
  <c r="K309" i="1"/>
  <c r="R309" i="1" s="1"/>
  <c r="X308" i="1"/>
  <c r="P308" i="1"/>
  <c r="M308" i="1"/>
  <c r="N308" i="1" s="1"/>
  <c r="K308" i="1"/>
  <c r="R308" i="1" s="1"/>
  <c r="X307" i="1"/>
  <c r="P307" i="1"/>
  <c r="M307" i="1"/>
  <c r="N307" i="1" s="1"/>
  <c r="K307" i="1"/>
  <c r="R307" i="1" s="1"/>
  <c r="X306" i="1"/>
  <c r="S306" i="1"/>
  <c r="P306" i="1"/>
  <c r="M306" i="1"/>
  <c r="N306" i="1" s="1"/>
  <c r="K306" i="1"/>
  <c r="R306" i="1" s="1"/>
  <c r="X305" i="1"/>
  <c r="S305" i="1"/>
  <c r="P305" i="1"/>
  <c r="M305" i="1"/>
  <c r="N305" i="1" s="1"/>
  <c r="K305" i="1"/>
  <c r="R305" i="1" s="1"/>
  <c r="X304" i="1"/>
  <c r="P304" i="1"/>
  <c r="M304" i="1"/>
  <c r="N304" i="1" s="1"/>
  <c r="K304" i="1"/>
  <c r="R304" i="1" s="1"/>
  <c r="X303" i="1"/>
  <c r="P303" i="1"/>
  <c r="M303" i="1"/>
  <c r="N303" i="1" s="1"/>
  <c r="K303" i="1"/>
  <c r="R303" i="1" s="1"/>
  <c r="I303" i="1"/>
  <c r="H303" i="1"/>
  <c r="X302" i="1"/>
  <c r="P302" i="1"/>
  <c r="M302" i="1"/>
  <c r="N302" i="1" s="1"/>
  <c r="K302" i="1"/>
  <c r="R302" i="1" s="1"/>
  <c r="H302" i="1"/>
  <c r="X301" i="1"/>
  <c r="P301" i="1"/>
  <c r="M301" i="1"/>
  <c r="N301" i="1" s="1"/>
  <c r="K301" i="1"/>
  <c r="R301" i="1" s="1"/>
  <c r="H301" i="1"/>
  <c r="S301" i="1" s="1"/>
  <c r="X300" i="1"/>
  <c r="P300" i="1"/>
  <c r="M300" i="1"/>
  <c r="N300" i="1" s="1"/>
  <c r="K300" i="1"/>
  <c r="R300" i="1" s="1"/>
  <c r="H300" i="1"/>
  <c r="X299" i="1"/>
  <c r="P299" i="1"/>
  <c r="M299" i="1"/>
  <c r="N299" i="1" s="1"/>
  <c r="K299" i="1"/>
  <c r="R299" i="1" s="1"/>
  <c r="I299" i="1"/>
  <c r="H299" i="1"/>
  <c r="X298" i="1"/>
  <c r="P298" i="1"/>
  <c r="M298" i="1"/>
  <c r="N298" i="1" s="1"/>
  <c r="K298" i="1"/>
  <c r="R298" i="1" s="1"/>
  <c r="X297" i="1"/>
  <c r="P297" i="1"/>
  <c r="M297" i="1"/>
  <c r="N297" i="1" s="1"/>
  <c r="K297" i="1"/>
  <c r="R297" i="1" s="1"/>
  <c r="X296" i="1"/>
  <c r="P296" i="1"/>
  <c r="M296" i="1"/>
  <c r="N296" i="1" s="1"/>
  <c r="K296" i="1"/>
  <c r="R296" i="1" s="1"/>
  <c r="X295" i="1"/>
  <c r="P295" i="1"/>
  <c r="M295" i="1"/>
  <c r="N295" i="1" s="1"/>
  <c r="K295" i="1"/>
  <c r="R295" i="1" s="1"/>
  <c r="X294" i="1"/>
  <c r="P294" i="1"/>
  <c r="M294" i="1"/>
  <c r="N294" i="1" s="1"/>
  <c r="K294" i="1"/>
  <c r="R294" i="1" s="1"/>
  <c r="X293" i="1"/>
  <c r="P293" i="1"/>
  <c r="M293" i="1"/>
  <c r="N293" i="1" s="1"/>
  <c r="K293" i="1"/>
  <c r="R293" i="1" s="1"/>
  <c r="X292" i="1"/>
  <c r="P292" i="1"/>
  <c r="M292" i="1"/>
  <c r="N292" i="1" s="1"/>
  <c r="K292" i="1"/>
  <c r="R292" i="1" s="1"/>
  <c r="X291" i="1"/>
  <c r="P291" i="1"/>
  <c r="M291" i="1"/>
  <c r="N291" i="1" s="1"/>
  <c r="K291" i="1"/>
  <c r="R291" i="1" s="1"/>
  <c r="X284" i="1"/>
  <c r="M284" i="1"/>
  <c r="N284" i="1" s="1"/>
  <c r="Q284" i="1" s="1"/>
  <c r="K284" i="1"/>
  <c r="R284" i="1" s="1"/>
  <c r="X283" i="1"/>
  <c r="M283" i="1"/>
  <c r="N283" i="1" s="1"/>
  <c r="Q283" i="1" s="1"/>
  <c r="K283" i="1"/>
  <c r="R283" i="1" s="1"/>
  <c r="X282" i="1"/>
  <c r="M282" i="1"/>
  <c r="N282" i="1" s="1"/>
  <c r="Q282" i="1" s="1"/>
  <c r="K282" i="1"/>
  <c r="R282" i="1" s="1"/>
  <c r="X281" i="1"/>
  <c r="M281" i="1"/>
  <c r="N281" i="1" s="1"/>
  <c r="Q281" i="1" s="1"/>
  <c r="K281" i="1"/>
  <c r="R281" i="1" s="1"/>
  <c r="X280" i="1"/>
  <c r="M280" i="1"/>
  <c r="N280" i="1" s="1"/>
  <c r="Q280" i="1" s="1"/>
  <c r="K280" i="1"/>
  <c r="R280" i="1" s="1"/>
  <c r="X279" i="1"/>
  <c r="M279" i="1"/>
  <c r="N279" i="1" s="1"/>
  <c r="Q279" i="1" s="1"/>
  <c r="K279" i="1"/>
  <c r="R279" i="1" s="1"/>
  <c r="X278" i="1"/>
  <c r="M278" i="1"/>
  <c r="N278" i="1" s="1"/>
  <c r="Q278" i="1" s="1"/>
  <c r="K278" i="1"/>
  <c r="R278" i="1" s="1"/>
  <c r="X277" i="1"/>
  <c r="M277" i="1"/>
  <c r="N277" i="1" s="1"/>
  <c r="Q277" i="1" s="1"/>
  <c r="K277" i="1"/>
  <c r="R277" i="1" s="1"/>
  <c r="X276" i="1"/>
  <c r="S276" i="1"/>
  <c r="M276" i="1"/>
  <c r="N276" i="1" s="1"/>
  <c r="Q276" i="1" s="1"/>
  <c r="K276" i="1"/>
  <c r="R276" i="1" s="1"/>
  <c r="X275" i="1"/>
  <c r="S275" i="1"/>
  <c r="M275" i="1"/>
  <c r="N275" i="1" s="1"/>
  <c r="Q275" i="1" s="1"/>
  <c r="K275" i="1"/>
  <c r="R275" i="1" s="1"/>
  <c r="X274" i="1"/>
  <c r="S274" i="1"/>
  <c r="M274" i="1"/>
  <c r="N274" i="1" s="1"/>
  <c r="Q274" i="1" s="1"/>
  <c r="K274" i="1"/>
  <c r="R274" i="1" s="1"/>
  <c r="X273" i="1"/>
  <c r="M273" i="1"/>
  <c r="N273" i="1" s="1"/>
  <c r="Q273" i="1" s="1"/>
  <c r="K273" i="1"/>
  <c r="R273" i="1" s="1"/>
  <c r="I273" i="1"/>
  <c r="H273" i="1"/>
  <c r="X272" i="1"/>
  <c r="M272" i="1"/>
  <c r="N272" i="1" s="1"/>
  <c r="Q272" i="1" s="1"/>
  <c r="K272" i="1"/>
  <c r="R272" i="1" s="1"/>
  <c r="H272" i="1"/>
  <c r="S272" i="1" s="1"/>
  <c r="X271" i="1"/>
  <c r="M271" i="1"/>
  <c r="N271" i="1" s="1"/>
  <c r="Q271" i="1" s="1"/>
  <c r="K271" i="1"/>
  <c r="R271" i="1" s="1"/>
  <c r="H271" i="1"/>
  <c r="S271" i="1" s="1"/>
  <c r="X270" i="1"/>
  <c r="M270" i="1"/>
  <c r="N270" i="1" s="1"/>
  <c r="Q270" i="1" s="1"/>
  <c r="K270" i="1"/>
  <c r="R270" i="1" s="1"/>
  <c r="H270" i="1"/>
  <c r="S270" i="1" s="1"/>
  <c r="X269" i="1"/>
  <c r="M269" i="1"/>
  <c r="N269" i="1" s="1"/>
  <c r="Q269" i="1" s="1"/>
  <c r="K269" i="1"/>
  <c r="R269" i="1" s="1"/>
  <c r="I269" i="1"/>
  <c r="H269" i="1"/>
  <c r="X268" i="1"/>
  <c r="M268" i="1"/>
  <c r="N268" i="1" s="1"/>
  <c r="Q268" i="1" s="1"/>
  <c r="K268" i="1"/>
  <c r="R268" i="1" s="1"/>
  <c r="X267" i="1"/>
  <c r="M267" i="1"/>
  <c r="N267" i="1" s="1"/>
  <c r="Q267" i="1" s="1"/>
  <c r="K267" i="1"/>
  <c r="R267" i="1" s="1"/>
  <c r="X266" i="1"/>
  <c r="M266" i="1"/>
  <c r="N266" i="1" s="1"/>
  <c r="Q266" i="1" s="1"/>
  <c r="K266" i="1"/>
  <c r="R266" i="1" s="1"/>
  <c r="X265" i="1"/>
  <c r="M265" i="1"/>
  <c r="N265" i="1" s="1"/>
  <c r="Q265" i="1" s="1"/>
  <c r="K265" i="1"/>
  <c r="R265" i="1" s="1"/>
  <c r="X264" i="1"/>
  <c r="M264" i="1"/>
  <c r="N264" i="1" s="1"/>
  <c r="Q264" i="1" s="1"/>
  <c r="K264" i="1"/>
  <c r="R264" i="1" s="1"/>
  <c r="X263" i="1"/>
  <c r="M263" i="1"/>
  <c r="N263" i="1" s="1"/>
  <c r="Q263" i="1" s="1"/>
  <c r="K263" i="1"/>
  <c r="R263" i="1" s="1"/>
  <c r="X262" i="1"/>
  <c r="M262" i="1"/>
  <c r="N262" i="1" s="1"/>
  <c r="Q262" i="1" s="1"/>
  <c r="K262" i="1"/>
  <c r="R262" i="1" s="1"/>
  <c r="X261" i="1"/>
  <c r="M261" i="1"/>
  <c r="N261" i="1" s="1"/>
  <c r="Q261" i="1" s="1"/>
  <c r="K261" i="1"/>
  <c r="R261" i="1" s="1"/>
  <c r="X254" i="1"/>
  <c r="P254" i="1"/>
  <c r="M254" i="1"/>
  <c r="N254" i="1" s="1"/>
  <c r="K254" i="1"/>
  <c r="R254" i="1" s="1"/>
  <c r="X253" i="1"/>
  <c r="P253" i="1"/>
  <c r="M253" i="1"/>
  <c r="N253" i="1" s="1"/>
  <c r="K253" i="1"/>
  <c r="R253" i="1" s="1"/>
  <c r="X252" i="1"/>
  <c r="P252" i="1"/>
  <c r="M252" i="1"/>
  <c r="N252" i="1" s="1"/>
  <c r="K252" i="1"/>
  <c r="R252" i="1" s="1"/>
  <c r="X251" i="1"/>
  <c r="P251" i="1"/>
  <c r="M251" i="1"/>
  <c r="N251" i="1" s="1"/>
  <c r="K251" i="1"/>
  <c r="R251" i="1" s="1"/>
  <c r="X250" i="1"/>
  <c r="P250" i="1"/>
  <c r="M250" i="1"/>
  <c r="N250" i="1" s="1"/>
  <c r="K250" i="1"/>
  <c r="R250" i="1" s="1"/>
  <c r="X249" i="1"/>
  <c r="P249" i="1"/>
  <c r="M249" i="1"/>
  <c r="N249" i="1" s="1"/>
  <c r="K249" i="1"/>
  <c r="R249" i="1" s="1"/>
  <c r="X248" i="1"/>
  <c r="P248" i="1"/>
  <c r="M248" i="1"/>
  <c r="N248" i="1" s="1"/>
  <c r="K248" i="1"/>
  <c r="R248" i="1" s="1"/>
  <c r="X247" i="1"/>
  <c r="P247" i="1"/>
  <c r="M247" i="1"/>
  <c r="N247" i="1" s="1"/>
  <c r="K247" i="1"/>
  <c r="R247" i="1" s="1"/>
  <c r="X246" i="1"/>
  <c r="S246" i="1"/>
  <c r="P246" i="1"/>
  <c r="M246" i="1"/>
  <c r="N246" i="1" s="1"/>
  <c r="K246" i="1"/>
  <c r="R246" i="1" s="1"/>
  <c r="X245" i="1"/>
  <c r="S245" i="1"/>
  <c r="P245" i="1"/>
  <c r="M245" i="1"/>
  <c r="N245" i="1" s="1"/>
  <c r="K245" i="1"/>
  <c r="R245" i="1" s="1"/>
  <c r="X244" i="1"/>
  <c r="S244" i="1"/>
  <c r="P244" i="1"/>
  <c r="M244" i="1"/>
  <c r="N244" i="1" s="1"/>
  <c r="K244" i="1"/>
  <c r="R244" i="1" s="1"/>
  <c r="X243" i="1"/>
  <c r="P243" i="1"/>
  <c r="M243" i="1"/>
  <c r="N243" i="1" s="1"/>
  <c r="K243" i="1"/>
  <c r="R243" i="1" s="1"/>
  <c r="I243" i="1"/>
  <c r="H243" i="1"/>
  <c r="X242" i="1"/>
  <c r="P242" i="1"/>
  <c r="N242" i="1"/>
  <c r="K242" i="1"/>
  <c r="R242" i="1" s="1"/>
  <c r="H242" i="1"/>
  <c r="S242" i="1" s="1"/>
  <c r="X241" i="1"/>
  <c r="P241" i="1"/>
  <c r="N241" i="1"/>
  <c r="K241" i="1"/>
  <c r="R241" i="1" s="1"/>
  <c r="H241" i="1"/>
  <c r="S241" i="1" s="1"/>
  <c r="X240" i="1"/>
  <c r="P240" i="1"/>
  <c r="N240" i="1"/>
  <c r="K240" i="1"/>
  <c r="R240" i="1" s="1"/>
  <c r="H240" i="1"/>
  <c r="S240" i="1" s="1"/>
  <c r="X239" i="1"/>
  <c r="P239" i="1"/>
  <c r="N239" i="1"/>
  <c r="K239" i="1"/>
  <c r="R239" i="1" s="1"/>
  <c r="I239" i="1"/>
  <c r="H239" i="1"/>
  <c r="X238" i="1"/>
  <c r="P238" i="1"/>
  <c r="N238" i="1"/>
  <c r="K238" i="1"/>
  <c r="R238" i="1" s="1"/>
  <c r="X237" i="1"/>
  <c r="P237" i="1"/>
  <c r="N237" i="1"/>
  <c r="K237" i="1"/>
  <c r="R237" i="1" s="1"/>
  <c r="X236" i="1"/>
  <c r="P236" i="1"/>
  <c r="N236" i="1"/>
  <c r="K236" i="1"/>
  <c r="R236" i="1" s="1"/>
  <c r="X235" i="1"/>
  <c r="P235" i="1"/>
  <c r="N235" i="1"/>
  <c r="K235" i="1"/>
  <c r="R235" i="1" s="1"/>
  <c r="X234" i="1"/>
  <c r="P234" i="1"/>
  <c r="N234" i="1"/>
  <c r="K234" i="1"/>
  <c r="R234" i="1" s="1"/>
  <c r="X233" i="1"/>
  <c r="P233" i="1"/>
  <c r="N233" i="1"/>
  <c r="K233" i="1"/>
  <c r="R233" i="1" s="1"/>
  <c r="X232" i="1"/>
  <c r="P232" i="1"/>
  <c r="N232" i="1"/>
  <c r="K232" i="1"/>
  <c r="R232" i="1" s="1"/>
  <c r="X231" i="1"/>
  <c r="P231" i="1"/>
  <c r="N231" i="1"/>
  <c r="K231" i="1"/>
  <c r="R231" i="1" s="1"/>
  <c r="X224" i="1"/>
  <c r="R224" i="1"/>
  <c r="P224" i="1"/>
  <c r="M224" i="1"/>
  <c r="N224" i="1" s="1"/>
  <c r="X223" i="1"/>
  <c r="P223" i="1"/>
  <c r="M223" i="1"/>
  <c r="N223" i="1" s="1"/>
  <c r="K223" i="1"/>
  <c r="R223" i="1" s="1"/>
  <c r="X222" i="1"/>
  <c r="P222" i="1"/>
  <c r="M222" i="1"/>
  <c r="N222" i="1" s="1"/>
  <c r="K222" i="1"/>
  <c r="R222" i="1" s="1"/>
  <c r="X221" i="1"/>
  <c r="P221" i="1"/>
  <c r="M221" i="1"/>
  <c r="N221" i="1" s="1"/>
  <c r="K221" i="1"/>
  <c r="R221" i="1" s="1"/>
  <c r="X220" i="1"/>
  <c r="P220" i="1"/>
  <c r="M220" i="1"/>
  <c r="N220" i="1" s="1"/>
  <c r="R220" i="1"/>
  <c r="X219" i="1"/>
  <c r="P219" i="1"/>
  <c r="M219" i="1"/>
  <c r="N219" i="1" s="1"/>
  <c r="K219" i="1"/>
  <c r="R219" i="1" s="1"/>
  <c r="X218" i="1"/>
  <c r="P218" i="1"/>
  <c r="M218" i="1"/>
  <c r="N218" i="1" s="1"/>
  <c r="K218" i="1"/>
  <c r="R218" i="1" s="1"/>
  <c r="X217" i="1"/>
  <c r="P217" i="1"/>
  <c r="M217" i="1"/>
  <c r="N217" i="1" s="1"/>
  <c r="K217" i="1"/>
  <c r="R217" i="1" s="1"/>
  <c r="X216" i="1"/>
  <c r="S216" i="1"/>
  <c r="P216" i="1"/>
  <c r="M216" i="1"/>
  <c r="N216" i="1" s="1"/>
  <c r="R216" i="1"/>
  <c r="X215" i="1"/>
  <c r="S215" i="1"/>
  <c r="P215" i="1"/>
  <c r="M215" i="1"/>
  <c r="N215" i="1" s="1"/>
  <c r="K215" i="1"/>
  <c r="R215" i="1" s="1"/>
  <c r="X214" i="1"/>
  <c r="S214" i="1"/>
  <c r="P214" i="1"/>
  <c r="M214" i="1"/>
  <c r="N214" i="1" s="1"/>
  <c r="K214" i="1"/>
  <c r="R214" i="1" s="1"/>
  <c r="X213" i="1"/>
  <c r="P213" i="1"/>
  <c r="M213" i="1"/>
  <c r="N213" i="1" s="1"/>
  <c r="K213" i="1"/>
  <c r="R213" i="1" s="1"/>
  <c r="I213" i="1"/>
  <c r="H213" i="1"/>
  <c r="X212" i="1"/>
  <c r="R212" i="1"/>
  <c r="P212" i="1"/>
  <c r="M212" i="1"/>
  <c r="N212" i="1" s="1"/>
  <c r="H212" i="1"/>
  <c r="S212" i="1" s="1"/>
  <c r="X211" i="1"/>
  <c r="P211" i="1"/>
  <c r="M211" i="1"/>
  <c r="N211" i="1" s="1"/>
  <c r="K211" i="1"/>
  <c r="R211" i="1" s="1"/>
  <c r="H211" i="1"/>
  <c r="S211" i="1" s="1"/>
  <c r="X210" i="1"/>
  <c r="P210" i="1"/>
  <c r="M210" i="1"/>
  <c r="N210" i="1" s="1"/>
  <c r="K210" i="1"/>
  <c r="R210" i="1" s="1"/>
  <c r="H210" i="1"/>
  <c r="S210" i="1" s="1"/>
  <c r="X209" i="1"/>
  <c r="P209" i="1"/>
  <c r="M209" i="1"/>
  <c r="N209" i="1" s="1"/>
  <c r="K209" i="1"/>
  <c r="R209" i="1" s="1"/>
  <c r="I209" i="1"/>
  <c r="H209" i="1"/>
  <c r="X208" i="1"/>
  <c r="R208" i="1"/>
  <c r="P208" i="1"/>
  <c r="M208" i="1"/>
  <c r="N208" i="1" s="1"/>
  <c r="X207" i="1"/>
  <c r="P207" i="1"/>
  <c r="M207" i="1"/>
  <c r="N207" i="1" s="1"/>
  <c r="K207" i="1"/>
  <c r="R207" i="1" s="1"/>
  <c r="X206" i="1"/>
  <c r="P206" i="1"/>
  <c r="M206" i="1"/>
  <c r="N206" i="1" s="1"/>
  <c r="K206" i="1"/>
  <c r="R206" i="1" s="1"/>
  <c r="X205" i="1"/>
  <c r="P205" i="1"/>
  <c r="M205" i="1"/>
  <c r="N205" i="1" s="1"/>
  <c r="K205" i="1"/>
  <c r="R205" i="1" s="1"/>
  <c r="X204" i="1"/>
  <c r="P204" i="1"/>
  <c r="M204" i="1"/>
  <c r="N204" i="1" s="1"/>
  <c r="R204" i="1"/>
  <c r="X203" i="1"/>
  <c r="P203" i="1"/>
  <c r="M203" i="1"/>
  <c r="N203" i="1" s="1"/>
  <c r="K203" i="1"/>
  <c r="R203" i="1" s="1"/>
  <c r="X202" i="1"/>
  <c r="P202" i="1"/>
  <c r="M202" i="1"/>
  <c r="N202" i="1" s="1"/>
  <c r="K202" i="1"/>
  <c r="R202" i="1" s="1"/>
  <c r="X201" i="1"/>
  <c r="P201" i="1"/>
  <c r="M201" i="1"/>
  <c r="N201" i="1" s="1"/>
  <c r="K201" i="1"/>
  <c r="R201" i="1" s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M184" i="1"/>
  <c r="N184" i="1" s="1"/>
  <c r="Q184" i="1" s="1"/>
  <c r="M183" i="1"/>
  <c r="N183" i="1" s="1"/>
  <c r="M182" i="1"/>
  <c r="N182" i="1" s="1"/>
  <c r="Q182" i="1" s="1"/>
  <c r="M181" i="1"/>
  <c r="N181" i="1" s="1"/>
  <c r="Q181" i="1" s="1"/>
  <c r="M180" i="1"/>
  <c r="N180" i="1" s="1"/>
  <c r="M179" i="1"/>
  <c r="N179" i="1" s="1"/>
  <c r="M178" i="1"/>
  <c r="N178" i="1" s="1"/>
  <c r="Q178" i="1" s="1"/>
  <c r="M177" i="1"/>
  <c r="N177" i="1" s="1"/>
  <c r="M176" i="1"/>
  <c r="N176" i="1" s="1"/>
  <c r="M175" i="1"/>
  <c r="N175" i="1" s="1"/>
  <c r="M174" i="1"/>
  <c r="N174" i="1" s="1"/>
  <c r="Q174" i="1" s="1"/>
  <c r="M173" i="1"/>
  <c r="N173" i="1" s="1"/>
  <c r="Q173" i="1" s="1"/>
  <c r="M172" i="1"/>
  <c r="N172" i="1" s="1"/>
  <c r="Q172" i="1" s="1"/>
  <c r="M171" i="1"/>
  <c r="N171" i="1" s="1"/>
  <c r="Q171" i="1" s="1"/>
  <c r="M170" i="1"/>
  <c r="N170" i="1" s="1"/>
  <c r="Q170" i="1" s="1"/>
  <c r="M169" i="1"/>
  <c r="N169" i="1" s="1"/>
  <c r="Q169" i="1" s="1"/>
  <c r="M168" i="1"/>
  <c r="N168" i="1" s="1"/>
  <c r="M167" i="1"/>
  <c r="N167" i="1" s="1"/>
  <c r="M166" i="1"/>
  <c r="N166" i="1" s="1"/>
  <c r="Q166" i="1" s="1"/>
  <c r="M165" i="1"/>
  <c r="N165" i="1" s="1"/>
  <c r="Q165" i="1" s="1"/>
  <c r="M164" i="1"/>
  <c r="N164" i="1" s="1"/>
  <c r="M163" i="1"/>
  <c r="N163" i="1" s="1"/>
  <c r="Q163" i="1" s="1"/>
  <c r="M162" i="1"/>
  <c r="N162" i="1" s="1"/>
  <c r="Q162" i="1" s="1"/>
  <c r="M161" i="1"/>
  <c r="N161" i="1" s="1"/>
  <c r="Q161" i="1" s="1"/>
  <c r="M154" i="1"/>
  <c r="N154" i="1" s="1"/>
  <c r="Q154" i="1" s="1"/>
  <c r="M153" i="1"/>
  <c r="N153" i="1" s="1"/>
  <c r="M152" i="1"/>
  <c r="N152" i="1" s="1"/>
  <c r="M151" i="1"/>
  <c r="N151" i="1" s="1"/>
  <c r="Q151" i="1" s="1"/>
  <c r="M150" i="1"/>
  <c r="N150" i="1" s="1"/>
  <c r="M149" i="1"/>
  <c r="N149" i="1" s="1"/>
  <c r="M148" i="1"/>
  <c r="N148" i="1" s="1"/>
  <c r="Q148" i="1" s="1"/>
  <c r="M147" i="1"/>
  <c r="N147" i="1" s="1"/>
  <c r="Q147" i="1" s="1"/>
  <c r="M146" i="1"/>
  <c r="N146" i="1" s="1"/>
  <c r="Q146" i="1" s="1"/>
  <c r="M145" i="1"/>
  <c r="N145" i="1" s="1"/>
  <c r="Q145" i="1" s="1"/>
  <c r="M144" i="1"/>
  <c r="N144" i="1" s="1"/>
  <c r="M143" i="1"/>
  <c r="N143" i="1" s="1"/>
  <c r="M142" i="1"/>
  <c r="N142" i="1" s="1"/>
  <c r="Q142" i="1" s="1"/>
  <c r="M141" i="1"/>
  <c r="N141" i="1" s="1"/>
  <c r="Q141" i="1" s="1"/>
  <c r="M140" i="1"/>
  <c r="N140" i="1" s="1"/>
  <c r="Q140" i="1" s="1"/>
  <c r="M139" i="1"/>
  <c r="N139" i="1" s="1"/>
  <c r="Q139" i="1" s="1"/>
  <c r="M138" i="1"/>
  <c r="N138" i="1" s="1"/>
  <c r="Q138" i="1" s="1"/>
  <c r="M137" i="1"/>
  <c r="N137" i="1" s="1"/>
  <c r="M136" i="1"/>
  <c r="N136" i="1" s="1"/>
  <c r="M135" i="1"/>
  <c r="N135" i="1" s="1"/>
  <c r="Q135" i="1" s="1"/>
  <c r="M134" i="1"/>
  <c r="N134" i="1" s="1"/>
  <c r="Q134" i="1" s="1"/>
  <c r="M133" i="1"/>
  <c r="N133" i="1" s="1"/>
  <c r="Q133" i="1" s="1"/>
  <c r="M132" i="1"/>
  <c r="N132" i="1" s="1"/>
  <c r="Q132" i="1" s="1"/>
  <c r="M131" i="1"/>
  <c r="N131" i="1" s="1"/>
  <c r="Q131" i="1" s="1"/>
  <c r="M124" i="1"/>
  <c r="N124" i="1" s="1"/>
  <c r="Q124" i="1" s="1"/>
  <c r="M123" i="1"/>
  <c r="N123" i="1" s="1"/>
  <c r="Q123" i="1" s="1"/>
  <c r="M122" i="1"/>
  <c r="N122" i="1" s="1"/>
  <c r="Q122" i="1" s="1"/>
  <c r="M121" i="1"/>
  <c r="N121" i="1" s="1"/>
  <c r="Q121" i="1" s="1"/>
  <c r="M120" i="1"/>
  <c r="N120" i="1" s="1"/>
  <c r="M119" i="1"/>
  <c r="N119" i="1" s="1"/>
  <c r="Q119" i="1" s="1"/>
  <c r="M118" i="1"/>
  <c r="N118" i="1" s="1"/>
  <c r="Q118" i="1" s="1"/>
  <c r="M117" i="1"/>
  <c r="N117" i="1" s="1"/>
  <c r="Q117" i="1" s="1"/>
  <c r="M116" i="1"/>
  <c r="N116" i="1" s="1"/>
  <c r="Q116" i="1" s="1"/>
  <c r="M115" i="1"/>
  <c r="N115" i="1" s="1"/>
  <c r="M114" i="1"/>
  <c r="N114" i="1" s="1"/>
  <c r="Q114" i="1" s="1"/>
  <c r="M113" i="1"/>
  <c r="N113" i="1" s="1"/>
  <c r="Q113" i="1" s="1"/>
  <c r="M112" i="1"/>
  <c r="N112" i="1" s="1"/>
  <c r="Q112" i="1" s="1"/>
  <c r="M111" i="1"/>
  <c r="N111" i="1" s="1"/>
  <c r="Q111" i="1" s="1"/>
  <c r="M110" i="1"/>
  <c r="N110" i="1" s="1"/>
  <c r="Q110" i="1" s="1"/>
  <c r="M109" i="1"/>
  <c r="N109" i="1" s="1"/>
  <c r="Q109" i="1" s="1"/>
  <c r="M108" i="1"/>
  <c r="N108" i="1" s="1"/>
  <c r="Q108" i="1" s="1"/>
  <c r="M107" i="1"/>
  <c r="N107" i="1" s="1"/>
  <c r="M106" i="1"/>
  <c r="N106" i="1" s="1"/>
  <c r="Q106" i="1" s="1"/>
  <c r="M105" i="1"/>
  <c r="N105" i="1" s="1"/>
  <c r="Q105" i="1" s="1"/>
  <c r="M104" i="1"/>
  <c r="N104" i="1" s="1"/>
  <c r="Q104" i="1" s="1"/>
  <c r="M103" i="1"/>
  <c r="N103" i="1" s="1"/>
  <c r="M102" i="1"/>
  <c r="N102" i="1" s="1"/>
  <c r="Q102" i="1" s="1"/>
  <c r="M101" i="1"/>
  <c r="N101" i="1" s="1"/>
  <c r="M94" i="1"/>
  <c r="N94" i="1" s="1"/>
  <c r="Q94" i="1" s="1"/>
  <c r="M93" i="1"/>
  <c r="N93" i="1" s="1"/>
  <c r="Q93" i="1" s="1"/>
  <c r="M92" i="1"/>
  <c r="N92" i="1" s="1"/>
  <c r="Q92" i="1" s="1"/>
  <c r="M91" i="1"/>
  <c r="N91" i="1" s="1"/>
  <c r="Q91" i="1" s="1"/>
  <c r="M90" i="1"/>
  <c r="N90" i="1" s="1"/>
  <c r="Q90" i="1" s="1"/>
  <c r="M89" i="1"/>
  <c r="N89" i="1" s="1"/>
  <c r="M88" i="1"/>
  <c r="N88" i="1" s="1"/>
  <c r="Q88" i="1" s="1"/>
  <c r="M87" i="1"/>
  <c r="N87" i="1" s="1"/>
  <c r="Q87" i="1" s="1"/>
  <c r="M86" i="1"/>
  <c r="N86" i="1" s="1"/>
  <c r="Q86" i="1" s="1"/>
  <c r="M85" i="1"/>
  <c r="N85" i="1" s="1"/>
  <c r="M84" i="1"/>
  <c r="N84" i="1" s="1"/>
  <c r="Q84" i="1" s="1"/>
  <c r="M83" i="1"/>
  <c r="N83" i="1" s="1"/>
  <c r="Q83" i="1" s="1"/>
  <c r="M82" i="1"/>
  <c r="N82" i="1" s="1"/>
  <c r="Q82" i="1" s="1"/>
  <c r="M81" i="1"/>
  <c r="N81" i="1" s="1"/>
  <c r="M80" i="1"/>
  <c r="N80" i="1" s="1"/>
  <c r="Q80" i="1" s="1"/>
  <c r="M79" i="1"/>
  <c r="N79" i="1" s="1"/>
  <c r="Q79" i="1" s="1"/>
  <c r="M78" i="1"/>
  <c r="N78" i="1" s="1"/>
  <c r="Q78" i="1" s="1"/>
  <c r="M77" i="1"/>
  <c r="N77" i="1" s="1"/>
  <c r="Q77" i="1" s="1"/>
  <c r="M76" i="1"/>
  <c r="N76" i="1" s="1"/>
  <c r="Q76" i="1" s="1"/>
  <c r="M75" i="1"/>
  <c r="N75" i="1" s="1"/>
  <c r="Q75" i="1" s="1"/>
  <c r="M74" i="1"/>
  <c r="N74" i="1" s="1"/>
  <c r="Q74" i="1" s="1"/>
  <c r="M73" i="1"/>
  <c r="N73" i="1" s="1"/>
  <c r="M72" i="1"/>
  <c r="N72" i="1" s="1"/>
  <c r="Q72" i="1" s="1"/>
  <c r="M71" i="1"/>
  <c r="N71" i="1" s="1"/>
  <c r="Q71" i="1" s="1"/>
  <c r="K184" i="1"/>
  <c r="R184" i="1" s="1"/>
  <c r="K183" i="1"/>
  <c r="R183" i="1" s="1"/>
  <c r="K182" i="1"/>
  <c r="R182" i="1" s="1"/>
  <c r="K181" i="1"/>
  <c r="R181" i="1" s="1"/>
  <c r="K180" i="1"/>
  <c r="R180" i="1" s="1"/>
  <c r="K179" i="1"/>
  <c r="R179" i="1" s="1"/>
  <c r="K178" i="1"/>
  <c r="R178" i="1" s="1"/>
  <c r="K177" i="1"/>
  <c r="R177" i="1" s="1"/>
  <c r="K176" i="1"/>
  <c r="R176" i="1" s="1"/>
  <c r="K175" i="1"/>
  <c r="R175" i="1" s="1"/>
  <c r="K174" i="1"/>
  <c r="R174" i="1" s="1"/>
  <c r="K173" i="1"/>
  <c r="R173" i="1" s="1"/>
  <c r="K172" i="1"/>
  <c r="R172" i="1" s="1"/>
  <c r="K171" i="1"/>
  <c r="R171" i="1" s="1"/>
  <c r="K170" i="1"/>
  <c r="R170" i="1" s="1"/>
  <c r="K169" i="1"/>
  <c r="R169" i="1" s="1"/>
  <c r="K168" i="1"/>
  <c r="R168" i="1" s="1"/>
  <c r="K167" i="1"/>
  <c r="R167" i="1" s="1"/>
  <c r="K166" i="1"/>
  <c r="R166" i="1" s="1"/>
  <c r="K165" i="1"/>
  <c r="R165" i="1" s="1"/>
  <c r="K164" i="1"/>
  <c r="R164" i="1" s="1"/>
  <c r="K163" i="1"/>
  <c r="R163" i="1" s="1"/>
  <c r="K162" i="1"/>
  <c r="R162" i="1" s="1"/>
  <c r="K161" i="1"/>
  <c r="R161" i="1" s="1"/>
  <c r="K154" i="1"/>
  <c r="R154" i="1" s="1"/>
  <c r="K153" i="1"/>
  <c r="R153" i="1" s="1"/>
  <c r="K152" i="1"/>
  <c r="R152" i="1" s="1"/>
  <c r="K151" i="1"/>
  <c r="R151" i="1" s="1"/>
  <c r="K150" i="1"/>
  <c r="R150" i="1" s="1"/>
  <c r="K149" i="1"/>
  <c r="R149" i="1" s="1"/>
  <c r="K148" i="1"/>
  <c r="R148" i="1" s="1"/>
  <c r="K147" i="1"/>
  <c r="R147" i="1" s="1"/>
  <c r="K146" i="1"/>
  <c r="R146" i="1" s="1"/>
  <c r="K145" i="1"/>
  <c r="R145" i="1" s="1"/>
  <c r="K144" i="1"/>
  <c r="R144" i="1" s="1"/>
  <c r="K143" i="1"/>
  <c r="R143" i="1" s="1"/>
  <c r="K142" i="1"/>
  <c r="R142" i="1" s="1"/>
  <c r="K141" i="1"/>
  <c r="R141" i="1" s="1"/>
  <c r="K140" i="1"/>
  <c r="R140" i="1" s="1"/>
  <c r="K139" i="1"/>
  <c r="R139" i="1" s="1"/>
  <c r="K138" i="1"/>
  <c r="R138" i="1" s="1"/>
  <c r="K137" i="1"/>
  <c r="R137" i="1" s="1"/>
  <c r="K136" i="1"/>
  <c r="R136" i="1" s="1"/>
  <c r="K135" i="1"/>
  <c r="R135" i="1" s="1"/>
  <c r="K134" i="1"/>
  <c r="R134" i="1" s="1"/>
  <c r="K133" i="1"/>
  <c r="R133" i="1" s="1"/>
  <c r="K132" i="1"/>
  <c r="R132" i="1" s="1"/>
  <c r="K131" i="1"/>
  <c r="R131" i="1" s="1"/>
  <c r="K124" i="1"/>
  <c r="R124" i="1" s="1"/>
  <c r="K123" i="1"/>
  <c r="R123" i="1" s="1"/>
  <c r="K122" i="1"/>
  <c r="R122" i="1" s="1"/>
  <c r="K121" i="1"/>
  <c r="R121" i="1" s="1"/>
  <c r="K120" i="1"/>
  <c r="R120" i="1" s="1"/>
  <c r="K119" i="1"/>
  <c r="R119" i="1" s="1"/>
  <c r="K118" i="1"/>
  <c r="R118" i="1" s="1"/>
  <c r="K117" i="1"/>
  <c r="R117" i="1" s="1"/>
  <c r="K116" i="1"/>
  <c r="R116" i="1" s="1"/>
  <c r="K115" i="1"/>
  <c r="R115" i="1" s="1"/>
  <c r="K114" i="1"/>
  <c r="R114" i="1" s="1"/>
  <c r="K113" i="1"/>
  <c r="R113" i="1" s="1"/>
  <c r="K112" i="1"/>
  <c r="R112" i="1" s="1"/>
  <c r="K111" i="1"/>
  <c r="R111" i="1" s="1"/>
  <c r="K110" i="1"/>
  <c r="R110" i="1" s="1"/>
  <c r="K109" i="1"/>
  <c r="R109" i="1" s="1"/>
  <c r="K108" i="1"/>
  <c r="R108" i="1" s="1"/>
  <c r="K107" i="1"/>
  <c r="R107" i="1" s="1"/>
  <c r="K106" i="1"/>
  <c r="R106" i="1" s="1"/>
  <c r="K105" i="1"/>
  <c r="R105" i="1" s="1"/>
  <c r="K104" i="1"/>
  <c r="R104" i="1" s="1"/>
  <c r="K103" i="1"/>
  <c r="R103" i="1" s="1"/>
  <c r="K102" i="1"/>
  <c r="R102" i="1" s="1"/>
  <c r="K101" i="1"/>
  <c r="R101" i="1" s="1"/>
  <c r="X184" i="1"/>
  <c r="X183" i="1"/>
  <c r="X182" i="1"/>
  <c r="X181" i="1"/>
  <c r="X180" i="1"/>
  <c r="X179" i="1"/>
  <c r="X178" i="1"/>
  <c r="X177" i="1"/>
  <c r="X176" i="1"/>
  <c r="S176" i="1"/>
  <c r="X175" i="1"/>
  <c r="S175" i="1"/>
  <c r="X174" i="1"/>
  <c r="S174" i="1"/>
  <c r="X173" i="1"/>
  <c r="I173" i="1"/>
  <c r="H173" i="1"/>
  <c r="X172" i="1"/>
  <c r="H172" i="1"/>
  <c r="S172" i="1" s="1"/>
  <c r="X171" i="1"/>
  <c r="H171" i="1"/>
  <c r="S171" i="1" s="1"/>
  <c r="X170" i="1"/>
  <c r="H170" i="1"/>
  <c r="S170" i="1" s="1"/>
  <c r="X169" i="1"/>
  <c r="I169" i="1"/>
  <c r="H169" i="1"/>
  <c r="X168" i="1"/>
  <c r="X167" i="1"/>
  <c r="X166" i="1"/>
  <c r="X165" i="1"/>
  <c r="X164" i="1"/>
  <c r="X163" i="1"/>
  <c r="X162" i="1"/>
  <c r="X161" i="1"/>
  <c r="X154" i="1"/>
  <c r="X153" i="1"/>
  <c r="X152" i="1"/>
  <c r="X151" i="1"/>
  <c r="X150" i="1"/>
  <c r="X149" i="1"/>
  <c r="X148" i="1"/>
  <c r="X147" i="1"/>
  <c r="X146" i="1"/>
  <c r="S146" i="1"/>
  <c r="X145" i="1"/>
  <c r="S145" i="1"/>
  <c r="X144" i="1"/>
  <c r="S144" i="1"/>
  <c r="X143" i="1"/>
  <c r="I143" i="1"/>
  <c r="H143" i="1"/>
  <c r="X142" i="1"/>
  <c r="H142" i="1"/>
  <c r="S142" i="1" s="1"/>
  <c r="X141" i="1"/>
  <c r="H141" i="1"/>
  <c r="S141" i="1" s="1"/>
  <c r="X140" i="1"/>
  <c r="H140" i="1"/>
  <c r="S140" i="1" s="1"/>
  <c r="X139" i="1"/>
  <c r="I139" i="1"/>
  <c r="H139" i="1"/>
  <c r="X138" i="1"/>
  <c r="X137" i="1"/>
  <c r="X136" i="1"/>
  <c r="X135" i="1"/>
  <c r="X134" i="1"/>
  <c r="X133" i="1"/>
  <c r="X132" i="1"/>
  <c r="X131" i="1"/>
  <c r="X124" i="1"/>
  <c r="X123" i="1"/>
  <c r="X122" i="1"/>
  <c r="X121" i="1"/>
  <c r="X120" i="1"/>
  <c r="X119" i="1"/>
  <c r="X118" i="1"/>
  <c r="X117" i="1"/>
  <c r="X116" i="1"/>
  <c r="S116" i="1"/>
  <c r="X115" i="1"/>
  <c r="S115" i="1"/>
  <c r="X114" i="1"/>
  <c r="S114" i="1"/>
  <c r="X113" i="1"/>
  <c r="I113" i="1"/>
  <c r="H113" i="1"/>
  <c r="X112" i="1"/>
  <c r="H112" i="1"/>
  <c r="S112" i="1" s="1"/>
  <c r="X111" i="1"/>
  <c r="H111" i="1"/>
  <c r="S111" i="1" s="1"/>
  <c r="X110" i="1"/>
  <c r="H110" i="1"/>
  <c r="S110" i="1" s="1"/>
  <c r="X109" i="1"/>
  <c r="I109" i="1"/>
  <c r="H109" i="1"/>
  <c r="X108" i="1"/>
  <c r="X107" i="1"/>
  <c r="X106" i="1"/>
  <c r="X105" i="1"/>
  <c r="X104" i="1"/>
  <c r="X103" i="1"/>
  <c r="X102" i="1"/>
  <c r="X101" i="1"/>
  <c r="K94" i="1"/>
  <c r="R94" i="1" s="1"/>
  <c r="K93" i="1"/>
  <c r="R93" i="1" s="1"/>
  <c r="K92" i="1"/>
  <c r="R92" i="1" s="1"/>
  <c r="K91" i="1"/>
  <c r="R91" i="1" s="1"/>
  <c r="K90" i="1"/>
  <c r="R90" i="1" s="1"/>
  <c r="K89" i="1"/>
  <c r="R89" i="1" s="1"/>
  <c r="K88" i="1"/>
  <c r="R88" i="1" s="1"/>
  <c r="K87" i="1"/>
  <c r="R87" i="1" s="1"/>
  <c r="K86" i="1"/>
  <c r="R86" i="1" s="1"/>
  <c r="K85" i="1"/>
  <c r="R85" i="1" s="1"/>
  <c r="K84" i="1"/>
  <c r="R84" i="1" s="1"/>
  <c r="K83" i="1"/>
  <c r="R83" i="1" s="1"/>
  <c r="K82" i="1"/>
  <c r="R82" i="1" s="1"/>
  <c r="K81" i="1"/>
  <c r="R81" i="1" s="1"/>
  <c r="K80" i="1"/>
  <c r="R80" i="1" s="1"/>
  <c r="K79" i="1"/>
  <c r="R79" i="1" s="1"/>
  <c r="K78" i="1"/>
  <c r="R78" i="1" s="1"/>
  <c r="K77" i="1"/>
  <c r="R77" i="1" s="1"/>
  <c r="K76" i="1"/>
  <c r="R76" i="1" s="1"/>
  <c r="K75" i="1"/>
  <c r="R75" i="1" s="1"/>
  <c r="K74" i="1"/>
  <c r="R74" i="1" s="1"/>
  <c r="K73" i="1"/>
  <c r="R73" i="1" s="1"/>
  <c r="K72" i="1"/>
  <c r="R72" i="1" s="1"/>
  <c r="K71" i="1"/>
  <c r="R71" i="1" s="1"/>
  <c r="X94" i="1"/>
  <c r="X93" i="1"/>
  <c r="X92" i="1"/>
  <c r="X91" i="1"/>
  <c r="X90" i="1"/>
  <c r="X89" i="1"/>
  <c r="X88" i="1"/>
  <c r="X87" i="1"/>
  <c r="X86" i="1"/>
  <c r="S86" i="1"/>
  <c r="X85" i="1"/>
  <c r="S85" i="1"/>
  <c r="X84" i="1"/>
  <c r="S84" i="1"/>
  <c r="X83" i="1"/>
  <c r="I83" i="1"/>
  <c r="H83" i="1"/>
  <c r="X82" i="1"/>
  <c r="H82" i="1"/>
  <c r="S82" i="1" s="1"/>
  <c r="X81" i="1"/>
  <c r="H81" i="1"/>
  <c r="S81" i="1" s="1"/>
  <c r="X80" i="1"/>
  <c r="H80" i="1"/>
  <c r="S80" i="1" s="1"/>
  <c r="X79" i="1"/>
  <c r="I79" i="1"/>
  <c r="H79" i="1"/>
  <c r="X78" i="1"/>
  <c r="X77" i="1"/>
  <c r="X76" i="1"/>
  <c r="X75" i="1"/>
  <c r="X74" i="1"/>
  <c r="X73" i="1"/>
  <c r="X72" i="1"/>
  <c r="X71" i="1"/>
  <c r="K50" i="1"/>
  <c r="R50" i="1" s="1"/>
  <c r="M64" i="1"/>
  <c r="N64" i="1" s="1"/>
  <c r="M63" i="1"/>
  <c r="N63" i="1" s="1"/>
  <c r="M62" i="1"/>
  <c r="N62" i="1" s="1"/>
  <c r="M61" i="1"/>
  <c r="N61" i="1" s="1"/>
  <c r="M60" i="1"/>
  <c r="N60" i="1" s="1"/>
  <c r="M59" i="1"/>
  <c r="N59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50" i="1"/>
  <c r="N50" i="1" s="1"/>
  <c r="M49" i="1"/>
  <c r="N49" i="1" s="1"/>
  <c r="M48" i="1"/>
  <c r="N48" i="1" s="1"/>
  <c r="M47" i="1"/>
  <c r="N47" i="1" s="1"/>
  <c r="M46" i="1"/>
  <c r="N46" i="1" s="1"/>
  <c r="M45" i="1"/>
  <c r="N45" i="1" s="1"/>
  <c r="M44" i="1"/>
  <c r="N44" i="1" s="1"/>
  <c r="M43" i="1"/>
  <c r="N43" i="1" s="1"/>
  <c r="M42" i="1"/>
  <c r="N42" i="1" s="1"/>
  <c r="M41" i="1"/>
  <c r="N41" i="1" s="1"/>
  <c r="K64" i="1"/>
  <c r="R64" i="1" s="1"/>
  <c r="K63" i="1"/>
  <c r="R63" i="1" s="1"/>
  <c r="K62" i="1"/>
  <c r="R62" i="1" s="1"/>
  <c r="K61" i="1"/>
  <c r="K60" i="1"/>
  <c r="R60" i="1" s="1"/>
  <c r="K59" i="1"/>
  <c r="R59" i="1" s="1"/>
  <c r="K58" i="1"/>
  <c r="R58" i="1" s="1"/>
  <c r="K57" i="1"/>
  <c r="R57" i="1" s="1"/>
  <c r="K56" i="1"/>
  <c r="R56" i="1" s="1"/>
  <c r="K55" i="1"/>
  <c r="R55" i="1" s="1"/>
  <c r="K54" i="1"/>
  <c r="R54" i="1" s="1"/>
  <c r="K53" i="1"/>
  <c r="R53" i="1" s="1"/>
  <c r="K52" i="1"/>
  <c r="R52" i="1" s="1"/>
  <c r="K51" i="1"/>
  <c r="R51" i="1" s="1"/>
  <c r="K49" i="1"/>
  <c r="R49" i="1" s="1"/>
  <c r="K48" i="1"/>
  <c r="R48" i="1" s="1"/>
  <c r="K47" i="1"/>
  <c r="R47" i="1" s="1"/>
  <c r="K46" i="1"/>
  <c r="R46" i="1" s="1"/>
  <c r="K45" i="1"/>
  <c r="R45" i="1" s="1"/>
  <c r="K44" i="1"/>
  <c r="R44" i="1" s="1"/>
  <c r="K43" i="1"/>
  <c r="R43" i="1" s="1"/>
  <c r="K42" i="1"/>
  <c r="R42" i="1" s="1"/>
  <c r="K41" i="1"/>
  <c r="R41" i="1" s="1"/>
  <c r="K15" i="1"/>
  <c r="X64" i="1"/>
  <c r="X63" i="1"/>
  <c r="X62" i="1"/>
  <c r="X61" i="1"/>
  <c r="R61" i="1"/>
  <c r="X60" i="1"/>
  <c r="X59" i="1"/>
  <c r="X58" i="1"/>
  <c r="X57" i="1"/>
  <c r="X56" i="1"/>
  <c r="S56" i="1"/>
  <c r="X55" i="1"/>
  <c r="S55" i="1"/>
  <c r="X54" i="1"/>
  <c r="S54" i="1"/>
  <c r="X53" i="1"/>
  <c r="I53" i="1"/>
  <c r="H53" i="1"/>
  <c r="X52" i="1"/>
  <c r="H52" i="1"/>
  <c r="S52" i="1" s="1"/>
  <c r="X51" i="1"/>
  <c r="H51" i="1"/>
  <c r="S51" i="1" s="1"/>
  <c r="X50" i="1"/>
  <c r="H50" i="1"/>
  <c r="S50" i="1" s="1"/>
  <c r="X49" i="1"/>
  <c r="I49" i="1"/>
  <c r="H49" i="1"/>
  <c r="X48" i="1"/>
  <c r="X47" i="1"/>
  <c r="X46" i="1"/>
  <c r="X45" i="1"/>
  <c r="X44" i="1"/>
  <c r="X43" i="1"/>
  <c r="X42" i="1"/>
  <c r="X41" i="1"/>
  <c r="H21" i="1"/>
  <c r="S21" i="1" s="1"/>
  <c r="H22" i="1"/>
  <c r="S22" i="1" s="1"/>
  <c r="H23" i="1"/>
  <c r="H20" i="1"/>
  <c r="S20" i="1" s="1"/>
  <c r="H19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11" i="1"/>
  <c r="S24" i="1"/>
  <c r="S25" i="1"/>
  <c r="S26" i="1"/>
  <c r="Q115" i="1" l="1"/>
  <c r="S239" i="1"/>
  <c r="Q332" i="1"/>
  <c r="Q73" i="1"/>
  <c r="Q85" i="1"/>
  <c r="T332" i="1"/>
  <c r="V332" i="1" s="1"/>
  <c r="Y332" i="1" s="1"/>
  <c r="Q103" i="1"/>
  <c r="Q175" i="1"/>
  <c r="T175" i="1" s="1"/>
  <c r="V175" i="1" s="1"/>
  <c r="Y175" i="1" s="1"/>
  <c r="Q168" i="1"/>
  <c r="T168" i="1" s="1"/>
  <c r="V168" i="1" s="1"/>
  <c r="Y168" i="1" s="1"/>
  <c r="Q137" i="1"/>
  <c r="T137" i="1" s="1"/>
  <c r="V137" i="1" s="1"/>
  <c r="Y137" i="1" s="1"/>
  <c r="Q180" i="1"/>
  <c r="T180" i="1" s="1"/>
  <c r="V180" i="1" s="1"/>
  <c r="Y180" i="1" s="1"/>
  <c r="Q136" i="1"/>
  <c r="T136" i="1" s="1"/>
  <c r="V136" i="1" s="1"/>
  <c r="Y136" i="1" s="1"/>
  <c r="Q150" i="1"/>
  <c r="T150" i="1" s="1"/>
  <c r="V150" i="1" s="1"/>
  <c r="Y150" i="1" s="1"/>
  <c r="Q176" i="1"/>
  <c r="T176" i="1" s="1"/>
  <c r="V176" i="1" s="1"/>
  <c r="Y176" i="1" s="1"/>
  <c r="Q243" i="1"/>
  <c r="Q164" i="1"/>
  <c r="T164" i="1" s="1"/>
  <c r="V164" i="1" s="1"/>
  <c r="Y164" i="1" s="1"/>
  <c r="Q251" i="1"/>
  <c r="Q299" i="1"/>
  <c r="Q152" i="1"/>
  <c r="Q308" i="1"/>
  <c r="T308" i="1" s="1"/>
  <c r="V308" i="1" s="1"/>
  <c r="Y308" i="1" s="1"/>
  <c r="Q177" i="1"/>
  <c r="T177" i="1" s="1"/>
  <c r="V177" i="1" s="1"/>
  <c r="Y177" i="1" s="1"/>
  <c r="Q153" i="1"/>
  <c r="T153" i="1" s="1"/>
  <c r="V153" i="1" s="1"/>
  <c r="Y153" i="1" s="1"/>
  <c r="Q89" i="1"/>
  <c r="T89" i="1" s="1"/>
  <c r="V89" i="1" s="1"/>
  <c r="Y89" i="1" s="1"/>
  <c r="Q107" i="1"/>
  <c r="T107" i="1" s="1"/>
  <c r="V107" i="1" s="1"/>
  <c r="Y107" i="1" s="1"/>
  <c r="Q149" i="1"/>
  <c r="T149" i="1" s="1"/>
  <c r="V149" i="1" s="1"/>
  <c r="Y149" i="1" s="1"/>
  <c r="Q362" i="1"/>
  <c r="T362" i="1" s="1"/>
  <c r="V362" i="1" s="1"/>
  <c r="Y362" i="1" s="1"/>
  <c r="Q368" i="1"/>
  <c r="T368" i="1" s="1"/>
  <c r="V368" i="1" s="1"/>
  <c r="Y368" i="1" s="1"/>
  <c r="Q202" i="1"/>
  <c r="T202" i="1" s="1"/>
  <c r="V202" i="1" s="1"/>
  <c r="Y202" i="1" s="1"/>
  <c r="S302" i="1"/>
  <c r="Q346" i="1"/>
  <c r="T346" i="1" s="1"/>
  <c r="V346" i="1" s="1"/>
  <c r="Y346" i="1" s="1"/>
  <c r="S109" i="1"/>
  <c r="T109" i="1" s="1"/>
  <c r="V109" i="1" s="1"/>
  <c r="Y109" i="1" s="1"/>
  <c r="S143" i="1"/>
  <c r="Q297" i="1"/>
  <c r="T297" i="1" s="1"/>
  <c r="V297" i="1" s="1"/>
  <c r="Y297" i="1" s="1"/>
  <c r="Q350" i="1"/>
  <c r="T350" i="1" s="1"/>
  <c r="V350" i="1" s="1"/>
  <c r="Y350" i="1" s="1"/>
  <c r="Q361" i="1"/>
  <c r="T361" i="1" s="1"/>
  <c r="V361" i="1" s="1"/>
  <c r="Y361" i="1" s="1"/>
  <c r="Q46" i="1"/>
  <c r="T46" i="1" s="1"/>
  <c r="V46" i="1" s="1"/>
  <c r="Y46" i="1" s="1"/>
  <c r="Q81" i="1"/>
  <c r="T81" i="1" s="1"/>
  <c r="V81" i="1" s="1"/>
  <c r="Y81" i="1" s="1"/>
  <c r="Q293" i="1"/>
  <c r="T293" i="1" s="1"/>
  <c r="V293" i="1" s="1"/>
  <c r="Y293" i="1" s="1"/>
  <c r="Q306" i="1"/>
  <c r="T306" i="1" s="1"/>
  <c r="V306" i="1" s="1"/>
  <c r="Y306" i="1" s="1"/>
  <c r="Q101" i="1"/>
  <c r="T101" i="1" s="1"/>
  <c r="V101" i="1" s="1"/>
  <c r="Y101" i="1" s="1"/>
  <c r="Q300" i="1"/>
  <c r="Q305" i="1"/>
  <c r="T305" i="1" s="1"/>
  <c r="V305" i="1" s="1"/>
  <c r="Y305" i="1" s="1"/>
  <c r="Q336" i="1"/>
  <c r="T336" i="1" s="1"/>
  <c r="V336" i="1" s="1"/>
  <c r="Y336" i="1" s="1"/>
  <c r="Q222" i="1"/>
  <c r="T222" i="1" s="1"/>
  <c r="V222" i="1" s="1"/>
  <c r="Y222" i="1" s="1"/>
  <c r="Q292" i="1"/>
  <c r="T292" i="1" s="1"/>
  <c r="V292" i="1" s="1"/>
  <c r="Y292" i="1" s="1"/>
  <c r="Q143" i="1"/>
  <c r="Q372" i="1"/>
  <c r="T372" i="1" s="1"/>
  <c r="V372" i="1" s="1"/>
  <c r="Y372" i="1" s="1"/>
  <c r="Q342" i="1"/>
  <c r="T342" i="1" s="1"/>
  <c r="Q62" i="1"/>
  <c r="T62" i="1" s="1"/>
  <c r="V62" i="1" s="1"/>
  <c r="Y62" i="1" s="1"/>
  <c r="T277" i="1"/>
  <c r="V277" i="1" s="1"/>
  <c r="Y277" i="1" s="1"/>
  <c r="Q50" i="1"/>
  <c r="T50" i="1" s="1"/>
  <c r="V50" i="1" s="1"/>
  <c r="Y50" i="1" s="1"/>
  <c r="Q179" i="1"/>
  <c r="T179" i="1" s="1"/>
  <c r="V179" i="1" s="1"/>
  <c r="Y179" i="1" s="1"/>
  <c r="S139" i="1"/>
  <c r="T139" i="1" s="1"/>
  <c r="V139" i="1" s="1"/>
  <c r="Y139" i="1" s="1"/>
  <c r="Q339" i="1"/>
  <c r="T339" i="1" s="1"/>
  <c r="V339" i="1" s="1"/>
  <c r="Y339" i="1" s="1"/>
  <c r="Q354" i="1"/>
  <c r="T354" i="1" s="1"/>
  <c r="V354" i="1" s="1"/>
  <c r="Y354" i="1" s="1"/>
  <c r="Q353" i="1"/>
  <c r="T353" i="1" s="1"/>
  <c r="V353" i="1" s="1"/>
  <c r="Y353" i="1" s="1"/>
  <c r="Q335" i="1"/>
  <c r="T335" i="1" s="1"/>
  <c r="V335" i="1" s="1"/>
  <c r="Y335" i="1" s="1"/>
  <c r="Q356" i="1"/>
  <c r="T356" i="1" s="1"/>
  <c r="V356" i="1" s="1"/>
  <c r="Y356" i="1" s="1"/>
  <c r="Q376" i="1"/>
  <c r="T376" i="1" s="1"/>
  <c r="V376" i="1" s="1"/>
  <c r="Y376" i="1" s="1"/>
  <c r="S173" i="1"/>
  <c r="T173" i="1" s="1"/>
  <c r="V173" i="1" s="1"/>
  <c r="Y173" i="1" s="1"/>
  <c r="Q218" i="1"/>
  <c r="T218" i="1" s="1"/>
  <c r="V218" i="1" s="1"/>
  <c r="Y218" i="1" s="1"/>
  <c r="S365" i="1"/>
  <c r="S364" i="1"/>
  <c r="Q341" i="1"/>
  <c r="T341" i="1" s="1"/>
  <c r="V341" i="1" s="1"/>
  <c r="Y341" i="1" s="1"/>
  <c r="Q183" i="1"/>
  <c r="T183" i="1" s="1"/>
  <c r="V183" i="1" s="1"/>
  <c r="Y183" i="1" s="1"/>
  <c r="Q378" i="1"/>
  <c r="T378" i="1" s="1"/>
  <c r="V378" i="1" s="1"/>
  <c r="Y378" i="1" s="1"/>
  <c r="T181" i="1"/>
  <c r="V181" i="1" s="1"/>
  <c r="Y181" i="1" s="1"/>
  <c r="Q211" i="1"/>
  <c r="T211" i="1" s="1"/>
  <c r="V211" i="1" s="1"/>
  <c r="Y211" i="1" s="1"/>
  <c r="Q340" i="1"/>
  <c r="T340" i="1" s="1"/>
  <c r="V340" i="1" s="1"/>
  <c r="Y340" i="1" s="1"/>
  <c r="Q216" i="1"/>
  <c r="T216" i="1" s="1"/>
  <c r="V216" i="1" s="1"/>
  <c r="Y216" i="1" s="1"/>
  <c r="Q214" i="1"/>
  <c r="T214" i="1" s="1"/>
  <c r="V214" i="1" s="1"/>
  <c r="Y214" i="1" s="1"/>
  <c r="Q242" i="1"/>
  <c r="T242" i="1" s="1"/>
  <c r="V242" i="1" s="1"/>
  <c r="Y242" i="1" s="1"/>
  <c r="Q349" i="1"/>
  <c r="T349" i="1" s="1"/>
  <c r="V349" i="1" s="1"/>
  <c r="Y349" i="1" s="1"/>
  <c r="Q45" i="1"/>
  <c r="T45" i="1" s="1"/>
  <c r="V45" i="1" s="1"/>
  <c r="Y45" i="1" s="1"/>
  <c r="Q57" i="1"/>
  <c r="T57" i="1" s="1"/>
  <c r="V57" i="1" s="1"/>
  <c r="Y57" i="1" s="1"/>
  <c r="T76" i="1"/>
  <c r="V76" i="1" s="1"/>
  <c r="Y76" i="1" s="1"/>
  <c r="Q365" i="1"/>
  <c r="Q371" i="1"/>
  <c r="T371" i="1" s="1"/>
  <c r="V371" i="1" s="1"/>
  <c r="Y371" i="1" s="1"/>
  <c r="Q373" i="1"/>
  <c r="T373" i="1" s="1"/>
  <c r="V373" i="1" s="1"/>
  <c r="Y373" i="1" s="1"/>
  <c r="Q344" i="1"/>
  <c r="T344" i="1" s="1"/>
  <c r="V344" i="1" s="1"/>
  <c r="Y344" i="1" s="1"/>
  <c r="Q338" i="1"/>
  <c r="T338" i="1" s="1"/>
  <c r="V338" i="1" s="1"/>
  <c r="Y338" i="1" s="1"/>
  <c r="Q377" i="1"/>
  <c r="T377" i="1" s="1"/>
  <c r="V377" i="1" s="1"/>
  <c r="Y377" i="1" s="1"/>
  <c r="Q337" i="1"/>
  <c r="T337" i="1" s="1"/>
  <c r="V337" i="1" s="1"/>
  <c r="Y337" i="1" s="1"/>
  <c r="Q234" i="1"/>
  <c r="T234" i="1" s="1"/>
  <c r="V234" i="1" s="1"/>
  <c r="Y234" i="1" s="1"/>
  <c r="Q246" i="1"/>
  <c r="T246" i="1" s="1"/>
  <c r="V246" i="1" s="1"/>
  <c r="Y246" i="1" s="1"/>
  <c r="Q375" i="1"/>
  <c r="T375" i="1" s="1"/>
  <c r="V375" i="1" s="1"/>
  <c r="Y375" i="1" s="1"/>
  <c r="Q331" i="1"/>
  <c r="T331" i="1" s="1"/>
  <c r="V331" i="1" s="1"/>
  <c r="Y331" i="1" s="1"/>
  <c r="Q58" i="1"/>
  <c r="T58" i="1" s="1"/>
  <c r="V58" i="1" s="1"/>
  <c r="Y58" i="1" s="1"/>
  <c r="Q347" i="1"/>
  <c r="T347" i="1" s="1"/>
  <c r="V347" i="1" s="1"/>
  <c r="Y347" i="1" s="1"/>
  <c r="Q364" i="1"/>
  <c r="Q355" i="1"/>
  <c r="T355" i="1" s="1"/>
  <c r="V355" i="1" s="1"/>
  <c r="Y355" i="1" s="1"/>
  <c r="Q370" i="1"/>
  <c r="T370" i="1" s="1"/>
  <c r="V370" i="1" s="1"/>
  <c r="Y370" i="1" s="1"/>
  <c r="Q352" i="1"/>
  <c r="T352" i="1" s="1"/>
  <c r="V352" i="1" s="1"/>
  <c r="Y352" i="1" s="1"/>
  <c r="Q49" i="1"/>
  <c r="S209" i="1"/>
  <c r="Q217" i="1"/>
  <c r="T217" i="1" s="1"/>
  <c r="V217" i="1" s="1"/>
  <c r="Y217" i="1" s="1"/>
  <c r="Q249" i="1"/>
  <c r="T249" i="1" s="1"/>
  <c r="V249" i="1" s="1"/>
  <c r="Y249" i="1" s="1"/>
  <c r="Q298" i="1"/>
  <c r="T298" i="1" s="1"/>
  <c r="V298" i="1" s="1"/>
  <c r="Y298" i="1" s="1"/>
  <c r="Q366" i="1"/>
  <c r="Q367" i="1"/>
  <c r="T367" i="1" s="1"/>
  <c r="V367" i="1" s="1"/>
  <c r="Y367" i="1" s="1"/>
  <c r="Q374" i="1"/>
  <c r="T374" i="1" s="1"/>
  <c r="V374" i="1" s="1"/>
  <c r="Y374" i="1" s="1"/>
  <c r="Q47" i="1"/>
  <c r="T47" i="1" s="1"/>
  <c r="V47" i="1" s="1"/>
  <c r="Y47" i="1" s="1"/>
  <c r="Q48" i="1"/>
  <c r="T48" i="1" s="1"/>
  <c r="V48" i="1" s="1"/>
  <c r="Y48" i="1" s="1"/>
  <c r="Q203" i="1"/>
  <c r="T203" i="1" s="1"/>
  <c r="V203" i="1" s="1"/>
  <c r="Y203" i="1" s="1"/>
  <c r="T359" i="1"/>
  <c r="V359" i="1" s="1"/>
  <c r="Y359" i="1" s="1"/>
  <c r="Q61" i="1"/>
  <c r="T61" i="1" s="1"/>
  <c r="V61" i="1" s="1"/>
  <c r="Y61" i="1" s="1"/>
  <c r="T162" i="1"/>
  <c r="V162" i="1" s="1"/>
  <c r="Y162" i="1" s="1"/>
  <c r="T274" i="1"/>
  <c r="V274" i="1" s="1"/>
  <c r="Y274" i="1" s="1"/>
  <c r="Q310" i="1"/>
  <c r="T310" i="1" s="1"/>
  <c r="V310" i="1" s="1"/>
  <c r="Y310" i="1" s="1"/>
  <c r="Q358" i="1"/>
  <c r="T358" i="1" s="1"/>
  <c r="V358" i="1" s="1"/>
  <c r="Y358" i="1" s="1"/>
  <c r="S53" i="1"/>
  <c r="Q313" i="1"/>
  <c r="T313" i="1" s="1"/>
  <c r="V313" i="1" s="1"/>
  <c r="Y313" i="1" s="1"/>
  <c r="Q348" i="1"/>
  <c r="T348" i="1" s="1"/>
  <c r="V348" i="1" s="1"/>
  <c r="Y348" i="1" s="1"/>
  <c r="Q213" i="1"/>
  <c r="Q44" i="1"/>
  <c r="T44" i="1" s="1"/>
  <c r="V44" i="1" s="1"/>
  <c r="Y44" i="1" s="1"/>
  <c r="Q56" i="1"/>
  <c r="T56" i="1" s="1"/>
  <c r="V56" i="1" s="1"/>
  <c r="Y56" i="1" s="1"/>
  <c r="Q207" i="1"/>
  <c r="T207" i="1" s="1"/>
  <c r="V207" i="1" s="1"/>
  <c r="Y207" i="1" s="1"/>
  <c r="T262" i="1"/>
  <c r="V262" i="1" s="1"/>
  <c r="Y262" i="1" s="1"/>
  <c r="T266" i="1"/>
  <c r="V266" i="1" s="1"/>
  <c r="Y266" i="1" s="1"/>
  <c r="Q334" i="1"/>
  <c r="T334" i="1" s="1"/>
  <c r="V334" i="1" s="1"/>
  <c r="Y334" i="1" s="1"/>
  <c r="Q343" i="1"/>
  <c r="T343" i="1" s="1"/>
  <c r="V343" i="1" s="1"/>
  <c r="Y343" i="1" s="1"/>
  <c r="Q144" i="1"/>
  <c r="T144" i="1" s="1"/>
  <c r="V144" i="1" s="1"/>
  <c r="Y144" i="1" s="1"/>
  <c r="Q43" i="1"/>
  <c r="T43" i="1" s="1"/>
  <c r="V43" i="1" s="1"/>
  <c r="Y43" i="1" s="1"/>
  <c r="Q55" i="1"/>
  <c r="T55" i="1" s="1"/>
  <c r="V55" i="1" s="1"/>
  <c r="Y55" i="1" s="1"/>
  <c r="Q205" i="1"/>
  <c r="T205" i="1" s="1"/>
  <c r="V205" i="1" s="1"/>
  <c r="Y205" i="1" s="1"/>
  <c r="Q208" i="1"/>
  <c r="T208" i="1" s="1"/>
  <c r="V208" i="1" s="1"/>
  <c r="Y208" i="1" s="1"/>
  <c r="Q223" i="1"/>
  <c r="T223" i="1" s="1"/>
  <c r="V223" i="1" s="1"/>
  <c r="Y223" i="1" s="1"/>
  <c r="T284" i="1"/>
  <c r="V284" i="1" s="1"/>
  <c r="Y284" i="1" s="1"/>
  <c r="Q314" i="1"/>
  <c r="T314" i="1" s="1"/>
  <c r="V314" i="1" s="1"/>
  <c r="Y314" i="1" s="1"/>
  <c r="Q363" i="1"/>
  <c r="T154" i="1"/>
  <c r="V154" i="1" s="1"/>
  <c r="Y154" i="1" s="1"/>
  <c r="T172" i="1"/>
  <c r="V172" i="1" s="1"/>
  <c r="Y172" i="1" s="1"/>
  <c r="T272" i="1"/>
  <c r="V272" i="1" s="1"/>
  <c r="Y272" i="1" s="1"/>
  <c r="Q302" i="1"/>
  <c r="Q309" i="1"/>
  <c r="T309" i="1" s="1"/>
  <c r="V309" i="1" s="1"/>
  <c r="Y309" i="1" s="1"/>
  <c r="S49" i="1"/>
  <c r="Q210" i="1"/>
  <c r="T210" i="1" s="1"/>
  <c r="V210" i="1" s="1"/>
  <c r="Y210" i="1" s="1"/>
  <c r="Q212" i="1"/>
  <c r="T212" i="1" s="1"/>
  <c r="V212" i="1" s="1"/>
  <c r="Y212" i="1" s="1"/>
  <c r="Q235" i="1"/>
  <c r="T235" i="1" s="1"/>
  <c r="V235" i="1" s="1"/>
  <c r="Y235" i="1" s="1"/>
  <c r="Q240" i="1"/>
  <c r="T240" i="1" s="1"/>
  <c r="V240" i="1" s="1"/>
  <c r="Y240" i="1" s="1"/>
  <c r="Q304" i="1"/>
  <c r="S366" i="1"/>
  <c r="Q224" i="1"/>
  <c r="T224" i="1" s="1"/>
  <c r="V224" i="1" s="1"/>
  <c r="Y224" i="1" s="1"/>
  <c r="S273" i="1"/>
  <c r="T273" i="1" s="1"/>
  <c r="V273" i="1" s="1"/>
  <c r="Y273" i="1" s="1"/>
  <c r="S299" i="1"/>
  <c r="Q333" i="1"/>
  <c r="T333" i="1" s="1"/>
  <c r="V333" i="1" s="1"/>
  <c r="Y333" i="1" s="1"/>
  <c r="T132" i="1"/>
  <c r="V132" i="1" s="1"/>
  <c r="Y132" i="1" s="1"/>
  <c r="S304" i="1"/>
  <c r="T270" i="1"/>
  <c r="V270" i="1" s="1"/>
  <c r="Y270" i="1" s="1"/>
  <c r="Q301" i="1"/>
  <c r="T301" i="1" s="1"/>
  <c r="V301" i="1" s="1"/>
  <c r="Y301" i="1" s="1"/>
  <c r="Q41" i="1"/>
  <c r="T41" i="1" s="1"/>
  <c r="V41" i="1" s="1"/>
  <c r="Y41" i="1" s="1"/>
  <c r="S79" i="1"/>
  <c r="T79" i="1" s="1"/>
  <c r="V79" i="1" s="1"/>
  <c r="Y79" i="1" s="1"/>
  <c r="Q52" i="1"/>
  <c r="T52" i="1" s="1"/>
  <c r="V52" i="1" s="1"/>
  <c r="Y52" i="1" s="1"/>
  <c r="S83" i="1"/>
  <c r="T83" i="1" s="1"/>
  <c r="V83" i="1" s="1"/>
  <c r="Y83" i="1" s="1"/>
  <c r="Q209" i="1"/>
  <c r="T283" i="1"/>
  <c r="V283" i="1" s="1"/>
  <c r="Y283" i="1" s="1"/>
  <c r="T265" i="1"/>
  <c r="V265" i="1" s="1"/>
  <c r="Y265" i="1" s="1"/>
  <c r="S169" i="1"/>
  <c r="T169" i="1" s="1"/>
  <c r="V169" i="1" s="1"/>
  <c r="Y169" i="1" s="1"/>
  <c r="Q64" i="1"/>
  <c r="T64" i="1" s="1"/>
  <c r="V64" i="1" s="1"/>
  <c r="Y64" i="1" s="1"/>
  <c r="Q63" i="1"/>
  <c r="T63" i="1" s="1"/>
  <c r="V63" i="1" s="1"/>
  <c r="Y63" i="1" s="1"/>
  <c r="T251" i="1"/>
  <c r="V251" i="1" s="1"/>
  <c r="Y251" i="1" s="1"/>
  <c r="S300" i="1"/>
  <c r="Q51" i="1"/>
  <c r="T51" i="1" s="1"/>
  <c r="V51" i="1" s="1"/>
  <c r="Y51" i="1" s="1"/>
  <c r="Q53" i="1"/>
  <c r="Q42" i="1"/>
  <c r="T42" i="1" s="1"/>
  <c r="V42" i="1" s="1"/>
  <c r="Y42" i="1" s="1"/>
  <c r="Q54" i="1"/>
  <c r="T54" i="1" s="1"/>
  <c r="V54" i="1" s="1"/>
  <c r="Y54" i="1" s="1"/>
  <c r="T151" i="1"/>
  <c r="V151" i="1" s="1"/>
  <c r="Y151" i="1" s="1"/>
  <c r="Q215" i="1"/>
  <c r="T215" i="1" s="1"/>
  <c r="V215" i="1" s="1"/>
  <c r="Y215" i="1" s="1"/>
  <c r="Q244" i="1"/>
  <c r="T244" i="1" s="1"/>
  <c r="V244" i="1" s="1"/>
  <c r="Y244" i="1" s="1"/>
  <c r="Q254" i="1"/>
  <c r="T254" i="1" s="1"/>
  <c r="V254" i="1" s="1"/>
  <c r="Y254" i="1" s="1"/>
  <c r="S269" i="1"/>
  <c r="T269" i="1" s="1"/>
  <c r="V269" i="1" s="1"/>
  <c r="Y269" i="1" s="1"/>
  <c r="T280" i="1"/>
  <c r="V280" i="1" s="1"/>
  <c r="Y280" i="1" s="1"/>
  <c r="Q357" i="1"/>
  <c r="T357" i="1" s="1"/>
  <c r="V357" i="1" s="1"/>
  <c r="Y357" i="1" s="1"/>
  <c r="Q351" i="1"/>
  <c r="T351" i="1" s="1"/>
  <c r="V351" i="1" s="1"/>
  <c r="S363" i="1"/>
  <c r="T279" i="1"/>
  <c r="V279" i="1" s="1"/>
  <c r="Y279" i="1" s="1"/>
  <c r="T106" i="1"/>
  <c r="V106" i="1" s="1"/>
  <c r="Y106" i="1" s="1"/>
  <c r="Q247" i="1"/>
  <c r="T247" i="1" s="1"/>
  <c r="V247" i="1" s="1"/>
  <c r="Y247" i="1" s="1"/>
  <c r="Q252" i="1"/>
  <c r="T252" i="1" s="1"/>
  <c r="V252" i="1" s="1"/>
  <c r="Y252" i="1" s="1"/>
  <c r="T166" i="1"/>
  <c r="V166" i="1" s="1"/>
  <c r="Y166" i="1" s="1"/>
  <c r="S113" i="1"/>
  <c r="T113" i="1" s="1"/>
  <c r="V113" i="1" s="1"/>
  <c r="Y113" i="1" s="1"/>
  <c r="Q220" i="1"/>
  <c r="T220" i="1" s="1"/>
  <c r="V220" i="1" s="1"/>
  <c r="Y220" i="1" s="1"/>
  <c r="Q231" i="1"/>
  <c r="T231" i="1" s="1"/>
  <c r="V231" i="1" s="1"/>
  <c r="Y231" i="1" s="1"/>
  <c r="Q236" i="1"/>
  <c r="T236" i="1" s="1"/>
  <c r="V236" i="1" s="1"/>
  <c r="Y236" i="1" s="1"/>
  <c r="Q241" i="1"/>
  <c r="T241" i="1" s="1"/>
  <c r="V241" i="1" s="1"/>
  <c r="Y241" i="1" s="1"/>
  <c r="Q250" i="1"/>
  <c r="T250" i="1" s="1"/>
  <c r="V250" i="1" s="1"/>
  <c r="Y250" i="1" s="1"/>
  <c r="T261" i="1"/>
  <c r="V261" i="1" s="1"/>
  <c r="Y261" i="1" s="1"/>
  <c r="T275" i="1"/>
  <c r="V275" i="1" s="1"/>
  <c r="Y275" i="1" s="1"/>
  <c r="T278" i="1"/>
  <c r="V278" i="1" s="1"/>
  <c r="Y278" i="1" s="1"/>
  <c r="Q294" i="1"/>
  <c r="T294" i="1" s="1"/>
  <c r="V294" i="1" s="1"/>
  <c r="Y294" i="1" s="1"/>
  <c r="Q360" i="1"/>
  <c r="T360" i="1" s="1"/>
  <c r="V360" i="1" s="1"/>
  <c r="Y360" i="1" s="1"/>
  <c r="Q201" i="1"/>
  <c r="T201" i="1" s="1"/>
  <c r="V201" i="1" s="1"/>
  <c r="Y201" i="1" s="1"/>
  <c r="Q206" i="1"/>
  <c r="T206" i="1" s="1"/>
  <c r="V206" i="1" s="1"/>
  <c r="Y206" i="1" s="1"/>
  <c r="Q239" i="1"/>
  <c r="T239" i="1" s="1"/>
  <c r="V239" i="1" s="1"/>
  <c r="Y239" i="1" s="1"/>
  <c r="Q248" i="1"/>
  <c r="T248" i="1" s="1"/>
  <c r="V248" i="1" s="1"/>
  <c r="Y248" i="1" s="1"/>
  <c r="T281" i="1"/>
  <c r="V281" i="1" s="1"/>
  <c r="Y281" i="1" s="1"/>
  <c r="Q311" i="1"/>
  <c r="T311" i="1" s="1"/>
  <c r="V311" i="1" s="1"/>
  <c r="Y311" i="1" s="1"/>
  <c r="Q369" i="1"/>
  <c r="T369" i="1" s="1"/>
  <c r="V369" i="1" s="1"/>
  <c r="Y369" i="1" s="1"/>
  <c r="Q253" i="1"/>
  <c r="T253" i="1" s="1"/>
  <c r="V253" i="1" s="1"/>
  <c r="Y253" i="1" s="1"/>
  <c r="Q232" i="1"/>
  <c r="T232" i="1" s="1"/>
  <c r="V232" i="1" s="1"/>
  <c r="Y232" i="1" s="1"/>
  <c r="Q237" i="1"/>
  <c r="T237" i="1" s="1"/>
  <c r="V237" i="1" s="1"/>
  <c r="Y237" i="1" s="1"/>
  <c r="Q295" i="1"/>
  <c r="T295" i="1" s="1"/>
  <c r="V295" i="1" s="1"/>
  <c r="Y295" i="1" s="1"/>
  <c r="Q204" i="1"/>
  <c r="T204" i="1" s="1"/>
  <c r="V204" i="1" s="1"/>
  <c r="Y204" i="1" s="1"/>
  <c r="S213" i="1"/>
  <c r="Q221" i="1"/>
  <c r="T221" i="1" s="1"/>
  <c r="V221" i="1" s="1"/>
  <c r="Y221" i="1" s="1"/>
  <c r="T282" i="1"/>
  <c r="V282" i="1" s="1"/>
  <c r="Y282" i="1" s="1"/>
  <c r="Q307" i="1"/>
  <c r="T307" i="1" s="1"/>
  <c r="V307" i="1" s="1"/>
  <c r="Y307" i="1" s="1"/>
  <c r="Q312" i="1"/>
  <c r="T312" i="1" s="1"/>
  <c r="V312" i="1" s="1"/>
  <c r="Y312" i="1" s="1"/>
  <c r="Q291" i="1"/>
  <c r="T291" i="1" s="1"/>
  <c r="V291" i="1" s="1"/>
  <c r="Y291" i="1" s="1"/>
  <c r="T72" i="1"/>
  <c r="V72" i="1" s="1"/>
  <c r="Y72" i="1" s="1"/>
  <c r="Q303" i="1"/>
  <c r="Q59" i="1"/>
  <c r="T59" i="1" s="1"/>
  <c r="V59" i="1" s="1"/>
  <c r="Y59" i="1" s="1"/>
  <c r="Q219" i="1"/>
  <c r="T219" i="1" s="1"/>
  <c r="V219" i="1" s="1"/>
  <c r="Y219" i="1" s="1"/>
  <c r="Q233" i="1"/>
  <c r="T233" i="1" s="1"/>
  <c r="V233" i="1" s="1"/>
  <c r="Y233" i="1" s="1"/>
  <c r="Q238" i="1"/>
  <c r="T238" i="1" s="1"/>
  <c r="V238" i="1" s="1"/>
  <c r="Y238" i="1" s="1"/>
  <c r="S243" i="1"/>
  <c r="Q245" i="1"/>
  <c r="T245" i="1" s="1"/>
  <c r="V245" i="1" s="1"/>
  <c r="Y245" i="1" s="1"/>
  <c r="Q296" i="1"/>
  <c r="T296" i="1" s="1"/>
  <c r="V296" i="1" s="1"/>
  <c r="Y296" i="1" s="1"/>
  <c r="Q345" i="1"/>
  <c r="T345" i="1" s="1"/>
  <c r="V345" i="1" s="1"/>
  <c r="Y345" i="1" s="1"/>
  <c r="S303" i="1"/>
  <c r="T276" i="1"/>
  <c r="V276" i="1" s="1"/>
  <c r="Y276" i="1" s="1"/>
  <c r="T263" i="1"/>
  <c r="V263" i="1" s="1"/>
  <c r="Y263" i="1" s="1"/>
  <c r="T267" i="1"/>
  <c r="V267" i="1" s="1"/>
  <c r="Y267" i="1" s="1"/>
  <c r="T271" i="1"/>
  <c r="V271" i="1" s="1"/>
  <c r="Y271" i="1" s="1"/>
  <c r="T264" i="1"/>
  <c r="V264" i="1" s="1"/>
  <c r="Y264" i="1" s="1"/>
  <c r="T268" i="1"/>
  <c r="V268" i="1" s="1"/>
  <c r="Y268" i="1" s="1"/>
  <c r="Q167" i="1"/>
  <c r="T167" i="1" s="1"/>
  <c r="V167" i="1" s="1"/>
  <c r="Y167" i="1" s="1"/>
  <c r="Q120" i="1"/>
  <c r="T120" i="1" s="1"/>
  <c r="V120" i="1" s="1"/>
  <c r="Y120" i="1" s="1"/>
  <c r="T182" i="1"/>
  <c r="V182" i="1" s="1"/>
  <c r="Y182" i="1" s="1"/>
  <c r="T174" i="1"/>
  <c r="V174" i="1" s="1"/>
  <c r="Y174" i="1" s="1"/>
  <c r="T171" i="1"/>
  <c r="V171" i="1" s="1"/>
  <c r="Y171" i="1" s="1"/>
  <c r="T170" i="1"/>
  <c r="V170" i="1" s="1"/>
  <c r="Y170" i="1" s="1"/>
  <c r="T163" i="1"/>
  <c r="V163" i="1" s="1"/>
  <c r="Y163" i="1" s="1"/>
  <c r="T161" i="1"/>
  <c r="V161" i="1" s="1"/>
  <c r="Y161" i="1" s="1"/>
  <c r="T145" i="1"/>
  <c r="V145" i="1" s="1"/>
  <c r="Y145" i="1" s="1"/>
  <c r="T142" i="1"/>
  <c r="V142" i="1" s="1"/>
  <c r="Y142" i="1" s="1"/>
  <c r="T141" i="1"/>
  <c r="V141" i="1" s="1"/>
  <c r="Y141" i="1" s="1"/>
  <c r="T140" i="1"/>
  <c r="V140" i="1" s="1"/>
  <c r="Y140" i="1" s="1"/>
  <c r="T138" i="1"/>
  <c r="V138" i="1" s="1"/>
  <c r="Y138" i="1" s="1"/>
  <c r="T134" i="1"/>
  <c r="V134" i="1" s="1"/>
  <c r="Y134" i="1" s="1"/>
  <c r="T131" i="1"/>
  <c r="V131" i="1" s="1"/>
  <c r="Y131" i="1" s="1"/>
  <c r="T124" i="1"/>
  <c r="V124" i="1" s="1"/>
  <c r="Y124" i="1" s="1"/>
  <c r="T122" i="1"/>
  <c r="V122" i="1" s="1"/>
  <c r="Y122" i="1" s="1"/>
  <c r="T121" i="1"/>
  <c r="V121" i="1" s="1"/>
  <c r="Y121" i="1" s="1"/>
  <c r="T116" i="1"/>
  <c r="V116" i="1" s="1"/>
  <c r="Y116" i="1" s="1"/>
  <c r="T115" i="1"/>
  <c r="V115" i="1" s="1"/>
  <c r="Y115" i="1" s="1"/>
  <c r="T114" i="1"/>
  <c r="V114" i="1" s="1"/>
  <c r="Y114" i="1" s="1"/>
  <c r="T112" i="1"/>
  <c r="V112" i="1" s="1"/>
  <c r="Y112" i="1" s="1"/>
  <c r="T111" i="1"/>
  <c r="V111" i="1" s="1"/>
  <c r="Y111" i="1" s="1"/>
  <c r="T110" i="1"/>
  <c r="V110" i="1" s="1"/>
  <c r="Y110" i="1" s="1"/>
  <c r="T108" i="1"/>
  <c r="V108" i="1" s="1"/>
  <c r="Y108" i="1" s="1"/>
  <c r="T102" i="1"/>
  <c r="V102" i="1" s="1"/>
  <c r="Y102" i="1" s="1"/>
  <c r="T178" i="1"/>
  <c r="V178" i="1" s="1"/>
  <c r="Y178" i="1" s="1"/>
  <c r="T184" i="1"/>
  <c r="V184" i="1" s="1"/>
  <c r="Y184" i="1" s="1"/>
  <c r="T165" i="1"/>
  <c r="V165" i="1" s="1"/>
  <c r="Y165" i="1" s="1"/>
  <c r="T148" i="1"/>
  <c r="V148" i="1" s="1"/>
  <c r="Y148" i="1" s="1"/>
  <c r="T133" i="1"/>
  <c r="V133" i="1" s="1"/>
  <c r="Y133" i="1" s="1"/>
  <c r="T146" i="1"/>
  <c r="V146" i="1" s="1"/>
  <c r="Y146" i="1" s="1"/>
  <c r="T135" i="1"/>
  <c r="V135" i="1" s="1"/>
  <c r="Y135" i="1" s="1"/>
  <c r="T147" i="1"/>
  <c r="V147" i="1" s="1"/>
  <c r="Y147" i="1" s="1"/>
  <c r="T152" i="1"/>
  <c r="V152" i="1" s="1"/>
  <c r="Y152" i="1" s="1"/>
  <c r="T117" i="1"/>
  <c r="V117" i="1" s="1"/>
  <c r="Y117" i="1" s="1"/>
  <c r="T123" i="1"/>
  <c r="V123" i="1" s="1"/>
  <c r="Y123" i="1" s="1"/>
  <c r="T103" i="1"/>
  <c r="V103" i="1" s="1"/>
  <c r="Y103" i="1" s="1"/>
  <c r="T118" i="1"/>
  <c r="V118" i="1" s="1"/>
  <c r="Y118" i="1" s="1"/>
  <c r="T105" i="1"/>
  <c r="V105" i="1" s="1"/>
  <c r="Y105" i="1" s="1"/>
  <c r="T104" i="1"/>
  <c r="V104" i="1" s="1"/>
  <c r="Y104" i="1" s="1"/>
  <c r="T119" i="1"/>
  <c r="V119" i="1" s="1"/>
  <c r="Y119" i="1" s="1"/>
  <c r="T93" i="1"/>
  <c r="V93" i="1" s="1"/>
  <c r="Y93" i="1" s="1"/>
  <c r="T92" i="1"/>
  <c r="V92" i="1" s="1"/>
  <c r="Y92" i="1" s="1"/>
  <c r="T91" i="1"/>
  <c r="V91" i="1" s="1"/>
  <c r="Y91" i="1" s="1"/>
  <c r="T90" i="1"/>
  <c r="V90" i="1" s="1"/>
  <c r="Y90" i="1" s="1"/>
  <c r="T84" i="1"/>
  <c r="V84" i="1" s="1"/>
  <c r="Y84" i="1" s="1"/>
  <c r="T82" i="1"/>
  <c r="V82" i="1" s="1"/>
  <c r="Y82" i="1" s="1"/>
  <c r="T80" i="1"/>
  <c r="V80" i="1" s="1"/>
  <c r="Y80" i="1" s="1"/>
  <c r="T78" i="1"/>
  <c r="V78" i="1" s="1"/>
  <c r="Y78" i="1" s="1"/>
  <c r="T77" i="1"/>
  <c r="V77" i="1" s="1"/>
  <c r="Y77" i="1" s="1"/>
  <c r="T71" i="1"/>
  <c r="V71" i="1" s="1"/>
  <c r="Y71" i="1" s="1"/>
  <c r="T88" i="1"/>
  <c r="V88" i="1" s="1"/>
  <c r="Y88" i="1" s="1"/>
  <c r="T74" i="1"/>
  <c r="V74" i="1" s="1"/>
  <c r="Y74" i="1" s="1"/>
  <c r="T86" i="1"/>
  <c r="V86" i="1" s="1"/>
  <c r="Y86" i="1" s="1"/>
  <c r="T73" i="1"/>
  <c r="V73" i="1" s="1"/>
  <c r="Y73" i="1" s="1"/>
  <c r="T85" i="1"/>
  <c r="V85" i="1" s="1"/>
  <c r="Y85" i="1" s="1"/>
  <c r="T75" i="1"/>
  <c r="V75" i="1" s="1"/>
  <c r="Y75" i="1" s="1"/>
  <c r="T94" i="1"/>
  <c r="V94" i="1" s="1"/>
  <c r="Y94" i="1" s="1"/>
  <c r="T87" i="1"/>
  <c r="V87" i="1" s="1"/>
  <c r="Y87" i="1" s="1"/>
  <c r="Q60" i="1"/>
  <c r="T60" i="1" s="1"/>
  <c r="V60" i="1" s="1"/>
  <c r="Y60" i="1" s="1"/>
  <c r="M34" i="1"/>
  <c r="N34" i="1" s="1"/>
  <c r="Q34" i="1" s="1"/>
  <c r="M33" i="1"/>
  <c r="N33" i="1" s="1"/>
  <c r="Q33" i="1" s="1"/>
  <c r="M32" i="1"/>
  <c r="N32" i="1" s="1"/>
  <c r="M30" i="1"/>
  <c r="N30" i="1" s="1"/>
  <c r="Q30" i="1" s="1"/>
  <c r="M29" i="1"/>
  <c r="N29" i="1" s="1"/>
  <c r="Q29" i="1" s="1"/>
  <c r="M28" i="1"/>
  <c r="N28" i="1" s="1"/>
  <c r="Q28" i="1" s="1"/>
  <c r="M26" i="1"/>
  <c r="N26" i="1" s="1"/>
  <c r="Q26" i="1" s="1"/>
  <c r="M25" i="1"/>
  <c r="N25" i="1" s="1"/>
  <c r="Q25" i="1" s="1"/>
  <c r="M24" i="1"/>
  <c r="N24" i="1" s="1"/>
  <c r="Q24" i="1" s="1"/>
  <c r="M23" i="1"/>
  <c r="N23" i="1" s="1"/>
  <c r="Q23" i="1" s="1"/>
  <c r="M22" i="1"/>
  <c r="N22" i="1" s="1"/>
  <c r="Q22" i="1" s="1"/>
  <c r="M21" i="1"/>
  <c r="N21" i="1" s="1"/>
  <c r="M20" i="1"/>
  <c r="N20" i="1" s="1"/>
  <c r="Q20" i="1" s="1"/>
  <c r="M18" i="1"/>
  <c r="N18" i="1" s="1"/>
  <c r="Q18" i="1" s="1"/>
  <c r="M17" i="1"/>
  <c r="N17" i="1" s="1"/>
  <c r="Q17" i="1" s="1"/>
  <c r="M16" i="1"/>
  <c r="N16" i="1" s="1"/>
  <c r="Q16" i="1" s="1"/>
  <c r="M14" i="1"/>
  <c r="N14" i="1" s="1"/>
  <c r="Q14" i="1" s="1"/>
  <c r="M13" i="1"/>
  <c r="N13" i="1" s="1"/>
  <c r="Q13" i="1" s="1"/>
  <c r="M12" i="1"/>
  <c r="N12" i="1" s="1"/>
  <c r="Q12" i="1" s="1"/>
  <c r="M31" i="1"/>
  <c r="N31" i="1" s="1"/>
  <c r="Q31" i="1" s="1"/>
  <c r="M27" i="1"/>
  <c r="N27" i="1" s="1"/>
  <c r="Q27" i="1" s="1"/>
  <c r="M19" i="1"/>
  <c r="N19" i="1" s="1"/>
  <c r="Q19" i="1" s="1"/>
  <c r="M15" i="1"/>
  <c r="N15" i="1" s="1"/>
  <c r="Q15" i="1" s="1"/>
  <c r="M11" i="1"/>
  <c r="K34" i="1"/>
  <c r="R34" i="1" s="1"/>
  <c r="K33" i="1"/>
  <c r="R33" i="1" s="1"/>
  <c r="K32" i="1"/>
  <c r="R32" i="1" s="1"/>
  <c r="K31" i="1"/>
  <c r="R31" i="1" s="1"/>
  <c r="K30" i="1"/>
  <c r="R30" i="1" s="1"/>
  <c r="K29" i="1"/>
  <c r="R29" i="1" s="1"/>
  <c r="K28" i="1"/>
  <c r="R28" i="1" s="1"/>
  <c r="K27" i="1"/>
  <c r="R27" i="1" s="1"/>
  <c r="K26" i="1"/>
  <c r="R26" i="1" s="1"/>
  <c r="K25" i="1"/>
  <c r="R25" i="1" s="1"/>
  <c r="K24" i="1"/>
  <c r="R24" i="1" s="1"/>
  <c r="K23" i="1"/>
  <c r="R23" i="1" s="1"/>
  <c r="K22" i="1"/>
  <c r="R22" i="1" s="1"/>
  <c r="K21" i="1"/>
  <c r="R21" i="1" s="1"/>
  <c r="K20" i="1"/>
  <c r="R20" i="1" s="1"/>
  <c r="K19" i="1"/>
  <c r="R19" i="1" s="1"/>
  <c r="K18" i="1"/>
  <c r="R18" i="1" s="1"/>
  <c r="K17" i="1"/>
  <c r="R17" i="1" s="1"/>
  <c r="K16" i="1"/>
  <c r="R16" i="1" s="1"/>
  <c r="R15" i="1"/>
  <c r="K14" i="1"/>
  <c r="R14" i="1" s="1"/>
  <c r="K13" i="1"/>
  <c r="R13" i="1" s="1"/>
  <c r="K12" i="1"/>
  <c r="R12" i="1" s="1"/>
  <c r="K11" i="1"/>
  <c r="R11" i="1" s="1"/>
  <c r="I23" i="1"/>
  <c r="S23" i="1" s="1"/>
  <c r="I19" i="1"/>
  <c r="S19" i="1" s="1"/>
  <c r="T299" i="1" l="1"/>
  <c r="V299" i="1" s="1"/>
  <c r="Y299" i="1" s="1"/>
  <c r="T243" i="1"/>
  <c r="V243" i="1" s="1"/>
  <c r="Y243" i="1" s="1"/>
  <c r="T302" i="1"/>
  <c r="V302" i="1" s="1"/>
  <c r="Y302" i="1" s="1"/>
  <c r="T366" i="1"/>
  <c r="V366" i="1" s="1"/>
  <c r="Y366" i="1" s="1"/>
  <c r="Z331" i="1" s="1"/>
  <c r="T300" i="1"/>
  <c r="V300" i="1" s="1"/>
  <c r="Y300" i="1" s="1"/>
  <c r="T143" i="1"/>
  <c r="V143" i="1" s="1"/>
  <c r="Y143" i="1" s="1"/>
  <c r="T365" i="1"/>
  <c r="V365" i="1" s="1"/>
  <c r="Y365" i="1" s="1"/>
  <c r="T49" i="1"/>
  <c r="V49" i="1" s="1"/>
  <c r="Y49" i="1" s="1"/>
  <c r="Z41" i="1" s="1"/>
  <c r="T364" i="1"/>
  <c r="V364" i="1" s="1"/>
  <c r="Y364" i="1" s="1"/>
  <c r="T53" i="1"/>
  <c r="V53" i="1" s="1"/>
  <c r="Y53" i="1" s="1"/>
  <c r="T209" i="1"/>
  <c r="V209" i="1" s="1"/>
  <c r="Y209" i="1" s="1"/>
  <c r="T304" i="1"/>
  <c r="V304" i="1" s="1"/>
  <c r="Y304" i="1" s="1"/>
  <c r="T303" i="1"/>
  <c r="V303" i="1" s="1"/>
  <c r="Y303" i="1" s="1"/>
  <c r="T213" i="1"/>
  <c r="V213" i="1" s="1"/>
  <c r="Y213" i="1" s="1"/>
  <c r="V342" i="1"/>
  <c r="Y342" i="1" s="1"/>
  <c r="T363" i="1"/>
  <c r="V363" i="1" s="1"/>
  <c r="Y363" i="1" s="1"/>
  <c r="Z261" i="1"/>
  <c r="Q21" i="1"/>
  <c r="T21" i="1" s="1"/>
  <c r="V21" i="1" s="1"/>
  <c r="Y21" i="1" s="1"/>
  <c r="Q32" i="1"/>
  <c r="T32" i="1" s="1"/>
  <c r="V32" i="1" s="1"/>
  <c r="Y32" i="1" s="1"/>
  <c r="Z231" i="1"/>
  <c r="Z161" i="1"/>
  <c r="Z131" i="1"/>
  <c r="Z101" i="1"/>
  <c r="Z71" i="1"/>
  <c r="T31" i="1"/>
  <c r="V31" i="1" s="1"/>
  <c r="Y31" i="1" s="1"/>
  <c r="T29" i="1"/>
  <c r="V29" i="1" s="1"/>
  <c r="Y29" i="1" s="1"/>
  <c r="T30" i="1"/>
  <c r="V30" i="1" s="1"/>
  <c r="Y30" i="1" s="1"/>
  <c r="T16" i="1"/>
  <c r="V16" i="1" s="1"/>
  <c r="Y16" i="1" s="1"/>
  <c r="T33" i="1"/>
  <c r="V33" i="1" s="1"/>
  <c r="Y33" i="1" s="1"/>
  <c r="T15" i="1"/>
  <c r="V15" i="1" s="1"/>
  <c r="Y15" i="1" s="1"/>
  <c r="T22" i="1"/>
  <c r="V22" i="1" s="1"/>
  <c r="Y22" i="1" s="1"/>
  <c r="T18" i="1"/>
  <c r="V18" i="1" s="1"/>
  <c r="Y18" i="1" s="1"/>
  <c r="T17" i="1"/>
  <c r="V17" i="1" s="1"/>
  <c r="Y17" i="1" s="1"/>
  <c r="T34" i="1"/>
  <c r="V34" i="1" s="1"/>
  <c r="Y34" i="1" s="1"/>
  <c r="T27" i="1"/>
  <c r="V27" i="1" s="1"/>
  <c r="Y27" i="1" s="1"/>
  <c r="T20" i="1"/>
  <c r="V20" i="1" s="1"/>
  <c r="Y20" i="1" s="1"/>
  <c r="T24" i="1"/>
  <c r="V24" i="1" s="1"/>
  <c r="Y24" i="1" s="1"/>
  <c r="T25" i="1"/>
  <c r="V25" i="1" s="1"/>
  <c r="Y25" i="1" s="1"/>
  <c r="T26" i="1"/>
  <c r="V26" i="1" s="1"/>
  <c r="Y26" i="1" s="1"/>
  <c r="T13" i="1"/>
  <c r="V13" i="1" s="1"/>
  <c r="Y13" i="1" s="1"/>
  <c r="T19" i="1"/>
  <c r="V19" i="1" s="1"/>
  <c r="Y19" i="1" s="1"/>
  <c r="T12" i="1"/>
  <c r="V12" i="1" s="1"/>
  <c r="Y12" i="1" s="1"/>
  <c r="T28" i="1"/>
  <c r="V28" i="1" s="1"/>
  <c r="Y28" i="1" s="1"/>
  <c r="T14" i="1"/>
  <c r="V14" i="1" s="1"/>
  <c r="Y14" i="1" s="1"/>
  <c r="T23" i="1"/>
  <c r="V23" i="1" s="1"/>
  <c r="Y23" i="1" s="1"/>
  <c r="N11" i="1"/>
  <c r="Q11" i="1" s="1"/>
  <c r="Z291" i="1" l="1"/>
  <c r="Z201" i="1"/>
  <c r="T11" i="1"/>
  <c r="V11" i="1" s="1"/>
  <c r="Y11" i="1" s="1"/>
  <c r="Z11" i="1" s="1"/>
</calcChain>
</file>

<file path=xl/sharedStrings.xml><?xml version="1.0" encoding="utf-8"?>
<sst xmlns="http://schemas.openxmlformats.org/spreadsheetml/2006/main" count="633" uniqueCount="125">
  <si>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</si>
  <si>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</si>
  <si>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</si>
  <si>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</si>
  <si>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</si>
  <si>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</si>
  <si>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</si>
  <si>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</si>
  <si>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</si>
  <si>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</si>
  <si>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</si>
  <si>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</si>
  <si>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</si>
  <si>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</si>
  <si>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</si>
  <si>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</si>
  <si>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</si>
  <si>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</si>
  <si>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</si>
  <si>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</si>
  <si>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</si>
  <si>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</si>
  <si>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</si>
  <si>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</si>
  <si>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</si>
  <si>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</si>
  <si>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</si>
  <si>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</si>
  <si>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</si>
  <si>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</si>
  <si>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</si>
  <si>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</si>
  <si>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</si>
  <si>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</si>
  <si>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</si>
  <si>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</si>
  <si>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</si>
  <si>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</si>
  <si>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</si>
  <si>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</si>
  <si>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</si>
  <si>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</si>
  <si>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</si>
  <si>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</si>
  <si>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</si>
  <si>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</si>
  <si>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</si>
  <si>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</si>
  <si>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</si>
  <si>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</si>
  <si>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</si>
  <si>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</si>
  <si>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</si>
  <si>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</si>
  <si>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</si>
  <si>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</si>
  <si>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</si>
  <si>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</si>
  <si>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</si>
  <si>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</si>
  <si>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</si>
  <si>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</si>
  <si>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</si>
  <si>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</si>
  <si>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</si>
  <si>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</si>
  <si>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</si>
  <si>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</si>
  <si>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</si>
  <si>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</si>
  <si>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</si>
  <si>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</si>
  <si>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</si>
  <si>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</si>
  <si>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</si>
  <si>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</si>
  <si>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</si>
  <si>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</si>
  <si>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</si>
  <si>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</si>
  <si>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</si>
  <si>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</si>
  <si>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</si>
  <si>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</si>
  <si>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</si>
  <si>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</si>
  <si>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</si>
  <si>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</si>
  <si>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</si>
  <si>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</si>
  <si>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</si>
  <si>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</si>
  <si>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</si>
  <si>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</si>
  <si>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</si>
  <si>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</si>
  <si>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</si>
  <si>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</si>
  <si>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</si>
  <si>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</si>
  <si>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</si>
  <si>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</si>
  <si>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</si>
  <si>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</si>
  <si>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</si>
  <si>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</si>
  <si>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</si>
  <si>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</si>
  <si>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</si>
  <si>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</si>
  <si>
    <t>Monthly inputs</t>
  </si>
  <si>
    <t>Month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</si>
  <si>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</si>
  <si>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</si>
  <si>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</si>
  <si>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</si>
  <si>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</si>
  <si>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</si>
  <si>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</si>
  <si>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</si>
  <si>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</si>
  <si>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</si>
  <si>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</si>
  <si>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</si>
  <si>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Custom 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</si>
</sst>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J378"/>
  <sheetViews>
    <sheetView tabSelected="1" workbookViewId="0">
      <pane xSplit="4" ySplit="10" topLeftCell="M319" activePane="bottomRight" state="frozenSplit"/>
      <selection pane="topRight" activeCell="F1" sqref="F1"/>
      <selection pane="bottomLeft" activeCell="A32" sqref="A32"/>
      <selection pane="bottomRight" activeCell="X351" sqref="X351"/>
    </sheetView>
  </sheetViews>
  <sheetFormatPr baseColWidth="10" defaultRowHeight="16" x14ac:dyDescent="0.2"/>
  <cols>
    <col min="1" max="1" width="14.1640625" customWidth="1"/>
  </cols>
  <sheetData>
    <row r="2" spans="1:36" x14ac:dyDescent="0.2">
      <c r="H2" t="s">
        <v>0</v>
      </c>
      <c r="N2" t="s">
        <v>1</v>
      </c>
      <c r="Q2" t="s">
        <v>2</v>
      </c>
      <c r="R2" t="s">
        <v>3</v>
      </c>
      <c r="S2" t="s">
        <v>4</v>
      </c>
      <c r="T2" t="s">
        <v>5</v>
      </c>
      <c r="V2" t="s">
        <v>6</v>
      </c>
      <c r="Y2" t="s">
        <v>7</v>
      </c>
    </row>
    <row r="3" spans="1:36" x14ac:dyDescent="0.2">
      <c r="F3" t="s">
        <v>8</v>
      </c>
      <c r="G3" t="s">
        <v>9</v>
      </c>
      <c r="H3" t="s">
        <v>10</v>
      </c>
      <c r="I3" t="s">
        <v>11</v>
      </c>
      <c r="K3" t="s">
        <v>12</v>
      </c>
      <c r="M3" t="s">
        <v>13</v>
      </c>
      <c r="N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X3" t="s">
        <v>22</v>
      </c>
      <c r="Y3" t="s">
        <v>23</v>
      </c>
      <c r="AC3">
        <v>351</v>
      </c>
      <c r="AD3" t="s">
        <v>57</v>
      </c>
      <c r="AE3">
        <v>1.3</v>
      </c>
    </row>
    <row r="4" spans="1:36" x14ac:dyDescent="0.2">
      <c r="F4" t="s">
        <v>24</v>
      </c>
      <c r="G4" t="s">
        <v>24</v>
      </c>
      <c r="H4" t="s">
        <v>25</v>
      </c>
      <c r="I4" t="s">
        <v>26</v>
      </c>
      <c r="K4" t="s">
        <v>26</v>
      </c>
      <c r="M4" t="s">
        <v>26</v>
      </c>
      <c r="N4" t="s">
        <v>25</v>
      </c>
      <c r="P4" t="s">
        <v>26</v>
      </c>
      <c r="Q4" t="s">
        <v>25</v>
      </c>
      <c r="R4" t="s">
        <v>25</v>
      </c>
      <c r="S4" t="s">
        <v>25</v>
      </c>
      <c r="T4" t="s">
        <v>25</v>
      </c>
      <c r="U4" t="s">
        <v>24</v>
      </c>
      <c r="V4" t="s">
        <v>25</v>
      </c>
      <c r="X4" t="s">
        <v>26</v>
      </c>
      <c r="Y4" t="s">
        <v>25</v>
      </c>
      <c r="AC4">
        <v>346</v>
      </c>
      <c r="AD4" t="s">
        <v>68</v>
      </c>
      <c r="AE4">
        <v>91.25</v>
      </c>
    </row>
    <row r="5" spans="1:36" x14ac:dyDescent="0.2">
      <c r="F5" t="s">
        <v>27</v>
      </c>
      <c r="G5" t="s">
        <v>27</v>
      </c>
      <c r="H5" t="s">
        <v>27</v>
      </c>
      <c r="I5" t="s">
        <v>27</v>
      </c>
      <c r="K5" t="s">
        <v>24</v>
      </c>
      <c r="M5" t="s">
        <v>24</v>
      </c>
      <c r="N5" t="s">
        <v>27</v>
      </c>
      <c r="P5" t="s">
        <v>24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X5" t="s">
        <v>24</v>
      </c>
      <c r="Y5" t="s">
        <v>27</v>
      </c>
    </row>
    <row r="8" spans="1:36" x14ac:dyDescent="0.2">
      <c r="F8" t="s">
        <v>28</v>
      </c>
      <c r="G8" t="s">
        <v>28</v>
      </c>
      <c r="H8" t="s">
        <v>29</v>
      </c>
      <c r="I8" t="s">
        <v>29</v>
      </c>
      <c r="K8" t="s">
        <v>30</v>
      </c>
      <c r="M8" t="s">
        <v>28</v>
      </c>
      <c r="N8" t="s">
        <v>31</v>
      </c>
      <c r="P8" t="s">
        <v>32</v>
      </c>
      <c r="Q8" t="s">
        <v>33</v>
      </c>
      <c r="R8" t="s">
        <v>31</v>
      </c>
      <c r="S8" t="s">
        <v>31</v>
      </c>
      <c r="T8" t="s">
        <v>33</v>
      </c>
      <c r="U8" t="s">
        <v>34</v>
      </c>
      <c r="V8" t="s">
        <v>35</v>
      </c>
      <c r="X8" t="s">
        <v>36</v>
      </c>
      <c r="Y8" t="s">
        <v>37</v>
      </c>
      <c r="Z8" t="s">
        <v>37</v>
      </c>
    </row>
    <row r="9" spans="1:36" x14ac:dyDescent="0.2">
      <c r="F9" t="s">
        <v>38</v>
      </c>
      <c r="G9" t="s">
        <v>39</v>
      </c>
      <c r="H9" t="s">
        <v>40</v>
      </c>
      <c r="I9" t="s">
        <v>41</v>
      </c>
      <c r="K9" t="s">
        <v>42</v>
      </c>
      <c r="M9" t="s">
        <v>43</v>
      </c>
      <c r="N9" t="s">
        <v>44</v>
      </c>
      <c r="P9" t="s">
        <v>45</v>
      </c>
      <c r="Q9" t="s">
        <v>46</v>
      </c>
      <c r="R9" t="s">
        <v>47</v>
      </c>
      <c r="S9" t="s">
        <v>48</v>
      </c>
      <c r="T9" t="s">
        <v>49</v>
      </c>
      <c r="U9" t="s">
        <v>50</v>
      </c>
      <c r="V9" t="s">
        <v>51</v>
      </c>
      <c r="X9" t="s">
        <v>52</v>
      </c>
      <c r="Y9" t="s">
        <v>53</v>
      </c>
    </row>
    <row r="10" spans="1:36" x14ac:dyDescent="0.2">
      <c r="A10" t="s">
        <v>70</v>
      </c>
      <c r="B10" t="s">
        <v>91</v>
      </c>
      <c r="C10" t="s">
        <v>71</v>
      </c>
      <c r="D10" t="s">
        <v>79</v>
      </c>
      <c r="E10" t="s">
        <v>111</v>
      </c>
      <c r="F10" s="2" t="s">
        <v>54</v>
      </c>
      <c r="G10" s="2" t="s">
        <v>55</v>
      </c>
      <c r="H10" t="s">
        <v>56</v>
      </c>
      <c r="I10" t="s">
        <v>57</v>
      </c>
      <c r="J10" t="s">
        <v>96</v>
      </c>
      <c r="K10" t="s">
        <v>58</v>
      </c>
      <c r="L10" t="s">
        <v>97</v>
      </c>
      <c r="M10" t="s">
        <v>59</v>
      </c>
      <c r="N10" t="s">
        <v>60</v>
      </c>
      <c r="O10" t="s">
        <v>95</v>
      </c>
      <c r="P10" t="s">
        <v>61</v>
      </c>
      <c r="Q10" t="s">
        <v>62</v>
      </c>
      <c r="R10" t="s">
        <v>63</v>
      </c>
      <c r="S10" t="s">
        <v>64</v>
      </c>
      <c r="T10" t="s">
        <v>65</v>
      </c>
      <c r="U10" s="2" t="s">
        <v>66</v>
      </c>
      <c r="V10" t="s">
        <v>67</v>
      </c>
      <c r="W10" t="s">
        <v>124</v>
      </c>
      <c r="X10" t="s">
        <v>68</v>
      </c>
      <c r="Y10" t="s">
        <v>69</v>
      </c>
      <c r="Z10" s="1" t="s">
        <v>69</v>
      </c>
    </row>
    <row r="11" spans="1:36" x14ac:dyDescent="0.2">
      <c r="A11" t="s">
        <v>78</v>
      </c>
      <c r="B11" t="s">
        <v>85</v>
      </c>
      <c r="C11" t="s">
        <v>72</v>
      </c>
      <c r="D11" t="s">
        <v>80</v>
      </c>
      <c r="F11">
        <v>0</v>
      </c>
      <c r="G11">
        <v>0</v>
      </c>
      <c r="H11">
        <v>0</v>
      </c>
      <c r="K11">
        <f>$AE$17</f>
        <v>2.9</v>
      </c>
      <c r="M11">
        <f>$AE$45</f>
        <v>0.75</v>
      </c>
      <c r="N11">
        <f>(0.795 * M11) - 0.0014</f>
        <v>0.5948500000000001</v>
      </c>
      <c r="P11">
        <f>$AE$72</f>
        <v>75</v>
      </c>
      <c r="Q11">
        <f>(104.7 * N11 + 0.307 * P11- 15) * POWER(P11, 0.75) * 10^-3</f>
        <v>1.7917898456122741</v>
      </c>
      <c r="R11">
        <f>1-EXP(-2*POWER(K11,2))</f>
        <v>0.9999999504359468</v>
      </c>
      <c r="S11">
        <v>1</v>
      </c>
      <c r="T11">
        <f>Q11 * R11 * S11</f>
        <v>1.7917897568039067</v>
      </c>
      <c r="U11">
        <v>50</v>
      </c>
      <c r="V11">
        <f>(T11 * 0.0188) + 0.00158</f>
        <v>3.5265647427913445E-2</v>
      </c>
      <c r="X11">
        <f>$AE$4</f>
        <v>91.25</v>
      </c>
      <c r="Y11">
        <f>U11*V11*X11</f>
        <v>160.89951638985508</v>
      </c>
      <c r="Z11">
        <f>SUM(Y11:Y34)*10^-3</f>
        <v>3.7707328300265006</v>
      </c>
    </row>
    <row r="12" spans="1:36" x14ac:dyDescent="0.2">
      <c r="D12" t="s">
        <v>81</v>
      </c>
      <c r="F12">
        <v>0</v>
      </c>
      <c r="G12">
        <v>0</v>
      </c>
      <c r="H12">
        <v>0</v>
      </c>
      <c r="K12">
        <f>$AE$18</f>
        <v>2.5</v>
      </c>
      <c r="M12">
        <f>$AE$46</f>
        <v>0.61</v>
      </c>
      <c r="N12">
        <f t="shared" ref="N12:N34" si="0">(0.795 * M12) - 0.0014</f>
        <v>0.48354999999999998</v>
      </c>
      <c r="P12">
        <f>$AE$73</f>
        <v>75</v>
      </c>
      <c r="Q12">
        <f>(104.7 * N12 + 0.307 * P12- 15) * POWER(P12, 0.75) * 10^-3</f>
        <v>1.4948026034112167</v>
      </c>
      <c r="R12">
        <f t="shared" ref="R12:R34" si="1">1-EXP(-2*POWER(K12,2))</f>
        <v>0.99999627334682795</v>
      </c>
      <c r="S12">
        <v>1</v>
      </c>
      <c r="T12">
        <f t="shared" ref="T12:T34" si="2">Q12 * R12 * S12</f>
        <v>1.494797032800353</v>
      </c>
      <c r="U12">
        <v>40</v>
      </c>
      <c r="V12">
        <f t="shared" ref="V12:V34" si="3">(T12 * 0.0188) + 0.00158</f>
        <v>2.9682184216646638E-2</v>
      </c>
      <c r="X12">
        <f t="shared" ref="X12:X34" si="4">$AE$4</f>
        <v>91.25</v>
      </c>
      <c r="Y12">
        <f t="shared" ref="Y12:Y34" si="5">U12*V12*X12</f>
        <v>108.33997239076024</v>
      </c>
    </row>
    <row r="13" spans="1:36" x14ac:dyDescent="0.2">
      <c r="D13" t="s">
        <v>82</v>
      </c>
      <c r="F13">
        <v>0</v>
      </c>
      <c r="G13">
        <v>0</v>
      </c>
      <c r="H13">
        <v>0</v>
      </c>
      <c r="K13">
        <f>$AE$19</f>
        <v>1.6</v>
      </c>
      <c r="M13">
        <f>$AE$47</f>
        <v>0.64</v>
      </c>
      <c r="N13">
        <f t="shared" si="0"/>
        <v>0.50740000000000007</v>
      </c>
      <c r="P13">
        <f>$AE$74</f>
        <v>69</v>
      </c>
      <c r="Q13">
        <f t="shared" ref="Q13:Q34" si="6">(104.7 * N13 + 0.307 * P13- 15) * POWER(P13, 0.75) * 10^-3</f>
        <v>1.4198696820048529</v>
      </c>
      <c r="R13">
        <f t="shared" si="1"/>
        <v>0.99402397710499402</v>
      </c>
      <c r="S13">
        <v>1</v>
      </c>
      <c r="T13">
        <f t="shared" si="2"/>
        <v>1.4113845082772669</v>
      </c>
      <c r="U13">
        <v>38</v>
      </c>
      <c r="V13">
        <f t="shared" si="3"/>
        <v>2.811402875561262E-2</v>
      </c>
      <c r="X13">
        <f t="shared" si="4"/>
        <v>91.25</v>
      </c>
      <c r="Y13">
        <f t="shared" si="5"/>
        <v>97.485394710086752</v>
      </c>
    </row>
    <row r="14" spans="1:36" x14ac:dyDescent="0.2">
      <c r="D14" t="s">
        <v>83</v>
      </c>
      <c r="F14">
        <v>0</v>
      </c>
      <c r="G14">
        <v>0</v>
      </c>
      <c r="H14">
        <v>0</v>
      </c>
      <c r="K14">
        <f>$AE$20</f>
        <v>1.7</v>
      </c>
      <c r="M14">
        <f>$AE$48</f>
        <v>0.72</v>
      </c>
      <c r="N14">
        <f t="shared" si="0"/>
        <v>0.57100000000000006</v>
      </c>
      <c r="P14">
        <f>$AE$75</f>
        <v>69</v>
      </c>
      <c r="Q14">
        <f t="shared" si="6"/>
        <v>1.5792888783210146</v>
      </c>
      <c r="R14">
        <f t="shared" si="1"/>
        <v>0.99691128459176326</v>
      </c>
      <c r="S14">
        <v>1</v>
      </c>
      <c r="T14">
        <f t="shared" si="2"/>
        <v>1.5744109044284875</v>
      </c>
      <c r="U14">
        <v>50</v>
      </c>
      <c r="V14">
        <f t="shared" si="3"/>
        <v>3.1178925003255569E-2</v>
      </c>
      <c r="X14">
        <f t="shared" si="4"/>
        <v>91.25</v>
      </c>
      <c r="Y14">
        <f t="shared" si="5"/>
        <v>142.25384532735353</v>
      </c>
      <c r="AD14" t="s">
        <v>84</v>
      </c>
    </row>
    <row r="15" spans="1:36" x14ac:dyDescent="0.2">
      <c r="A15">
        <v>2</v>
      </c>
      <c r="C15" t="s">
        <v>73</v>
      </c>
      <c r="D15" t="s">
        <v>80</v>
      </c>
      <c r="F15">
        <v>0</v>
      </c>
      <c r="G15">
        <v>0</v>
      </c>
      <c r="H15">
        <v>0</v>
      </c>
      <c r="K15">
        <f>$AF$17</f>
        <v>2.9</v>
      </c>
      <c r="M15">
        <f>$AF$45</f>
        <v>0.75</v>
      </c>
      <c r="N15">
        <f t="shared" si="0"/>
        <v>0.5948500000000001</v>
      </c>
      <c r="P15">
        <f>$AF$72</f>
        <v>62</v>
      </c>
      <c r="Q15">
        <f t="shared" si="6"/>
        <v>1.4652245899459331</v>
      </c>
      <c r="R15">
        <f t="shared" si="1"/>
        <v>0.9999999504359468</v>
      </c>
      <c r="S15">
        <v>1</v>
      </c>
      <c r="T15">
        <f t="shared" si="2"/>
        <v>1.4652245173234635</v>
      </c>
      <c r="U15">
        <v>100</v>
      </c>
      <c r="V15">
        <f t="shared" si="3"/>
        <v>2.9126220925681116E-2</v>
      </c>
      <c r="X15">
        <f t="shared" si="4"/>
        <v>91.25</v>
      </c>
      <c r="Y15">
        <f t="shared" si="5"/>
        <v>265.77676594684021</v>
      </c>
      <c r="AD15" t="s">
        <v>58</v>
      </c>
    </row>
    <row r="16" spans="1:36" x14ac:dyDescent="0.2">
      <c r="D16" t="s">
        <v>81</v>
      </c>
      <c r="F16">
        <v>0</v>
      </c>
      <c r="G16">
        <v>0</v>
      </c>
      <c r="H16">
        <v>0</v>
      </c>
      <c r="K16">
        <f>$AF$18</f>
        <v>2.5</v>
      </c>
      <c r="M16">
        <f>$AF$46</f>
        <v>0.61</v>
      </c>
      <c r="N16">
        <f t="shared" si="0"/>
        <v>0.48354999999999998</v>
      </c>
      <c r="P16">
        <f>$AF$73</f>
        <v>55</v>
      </c>
      <c r="Q16">
        <f t="shared" si="6"/>
        <v>1.0605624381175847</v>
      </c>
      <c r="R16">
        <f t="shared" si="1"/>
        <v>0.99999627334682795</v>
      </c>
      <c r="S16">
        <v>1</v>
      </c>
      <c r="T16">
        <f t="shared" si="2"/>
        <v>1.0605584857692105</v>
      </c>
      <c r="U16">
        <v>120</v>
      </c>
      <c r="V16">
        <f t="shared" si="3"/>
        <v>2.1518499532461158E-2</v>
      </c>
      <c r="X16">
        <f t="shared" si="4"/>
        <v>91.25</v>
      </c>
      <c r="Y16">
        <f t="shared" si="5"/>
        <v>235.6275698804497</v>
      </c>
      <c r="AE16" t="s">
        <v>72</v>
      </c>
      <c r="AF16" t="s">
        <v>73</v>
      </c>
      <c r="AG16" t="s">
        <v>74</v>
      </c>
      <c r="AH16" t="s">
        <v>75</v>
      </c>
      <c r="AI16" t="s">
        <v>76</v>
      </c>
      <c r="AJ16" t="s">
        <v>77</v>
      </c>
    </row>
    <row r="17" spans="1:36" x14ac:dyDescent="0.2">
      <c r="D17" t="s">
        <v>82</v>
      </c>
      <c r="F17">
        <v>0</v>
      </c>
      <c r="G17">
        <v>0</v>
      </c>
      <c r="H17">
        <v>0</v>
      </c>
      <c r="K17">
        <f>$AF$19</f>
        <v>1.6</v>
      </c>
      <c r="M17">
        <f>$AF$47</f>
        <v>0.64</v>
      </c>
      <c r="N17">
        <f t="shared" si="0"/>
        <v>0.50740000000000007</v>
      </c>
      <c r="P17">
        <f>$AF$74</f>
        <v>55</v>
      </c>
      <c r="Q17">
        <f t="shared" si="6"/>
        <v>1.1109945415495692</v>
      </c>
      <c r="R17">
        <f t="shared" si="1"/>
        <v>0.99402397710499402</v>
      </c>
      <c r="S17">
        <v>1</v>
      </c>
      <c r="T17">
        <f t="shared" si="2"/>
        <v>1.1043552127330423</v>
      </c>
      <c r="U17">
        <v>115</v>
      </c>
      <c r="V17">
        <f t="shared" si="3"/>
        <v>2.2341877999381195E-2</v>
      </c>
      <c r="X17">
        <f t="shared" si="4"/>
        <v>91.25</v>
      </c>
      <c r="Y17">
        <f t="shared" si="5"/>
        <v>234.4500822560064</v>
      </c>
      <c r="AC17" t="s">
        <v>85</v>
      </c>
      <c r="AD17" t="s">
        <v>80</v>
      </c>
      <c r="AE17">
        <v>2.9</v>
      </c>
      <c r="AF17">
        <v>2.9</v>
      </c>
      <c r="AG17">
        <v>2.9</v>
      </c>
      <c r="AH17">
        <v>2.9</v>
      </c>
      <c r="AI17">
        <v>2.9</v>
      </c>
      <c r="AJ17">
        <v>2.9</v>
      </c>
    </row>
    <row r="18" spans="1:36" x14ac:dyDescent="0.2">
      <c r="D18" t="s">
        <v>83</v>
      </c>
      <c r="F18">
        <v>0</v>
      </c>
      <c r="G18">
        <v>0</v>
      </c>
      <c r="H18">
        <v>0</v>
      </c>
      <c r="K18">
        <f>$AF$20</f>
        <v>1.7</v>
      </c>
      <c r="M18">
        <f>$AF$48</f>
        <v>0.72</v>
      </c>
      <c r="N18">
        <f t="shared" si="0"/>
        <v>0.57100000000000006</v>
      </c>
      <c r="P18">
        <f>$AF$75</f>
        <v>55</v>
      </c>
      <c r="Q18">
        <f t="shared" si="6"/>
        <v>1.2454801507015281</v>
      </c>
      <c r="R18">
        <f t="shared" si="1"/>
        <v>0.99691128459176326</v>
      </c>
      <c r="S18">
        <v>1</v>
      </c>
      <c r="T18">
        <f t="shared" si="2"/>
        <v>1.2416332169694033</v>
      </c>
      <c r="U18">
        <v>110</v>
      </c>
      <c r="V18">
        <f t="shared" si="3"/>
        <v>2.4922704479024786E-2</v>
      </c>
      <c r="X18">
        <f t="shared" si="4"/>
        <v>91.25</v>
      </c>
      <c r="Y18">
        <f t="shared" si="5"/>
        <v>250.16164620821129</v>
      </c>
      <c r="AD18" t="s">
        <v>81</v>
      </c>
      <c r="AE18">
        <v>2.5</v>
      </c>
      <c r="AF18">
        <v>2.5</v>
      </c>
      <c r="AG18">
        <v>2.5</v>
      </c>
      <c r="AH18">
        <v>2.5</v>
      </c>
      <c r="AI18">
        <v>2.5</v>
      </c>
      <c r="AJ18">
        <v>2.5</v>
      </c>
    </row>
    <row r="19" spans="1:36" x14ac:dyDescent="0.2">
      <c r="A19">
        <v>3</v>
      </c>
      <c r="C19" t="s">
        <v>74</v>
      </c>
      <c r="D19" t="s">
        <v>80</v>
      </c>
      <c r="F19">
        <v>90</v>
      </c>
      <c r="G19">
        <v>85</v>
      </c>
      <c r="H19">
        <f>(F19/100*MIN(G19,100)/100)</f>
        <v>0.76500000000000001</v>
      </c>
      <c r="I19">
        <f>$AE$3</f>
        <v>1.3</v>
      </c>
      <c r="K19">
        <f>$AG$17</f>
        <v>2.9</v>
      </c>
      <c r="M19">
        <f>$AG$45</f>
        <v>0.75</v>
      </c>
      <c r="N19">
        <f t="shared" si="0"/>
        <v>0.5948500000000001</v>
      </c>
      <c r="P19">
        <f>$AG$72</f>
        <v>44</v>
      </c>
      <c r="Q19">
        <f>(104.7 * N19 + 0.307 * P19- 15) * POWER(P19, 0.75) * 10^-3</f>
        <v>1.0385156413271623</v>
      </c>
      <c r="R19">
        <f t="shared" si="1"/>
        <v>0.9999999504359468</v>
      </c>
      <c r="S19">
        <f>(H19 * I19) + (1 - H19)</f>
        <v>1.2295</v>
      </c>
      <c r="T19">
        <f t="shared" si="2"/>
        <v>1.2768549177256379</v>
      </c>
      <c r="U19">
        <v>120</v>
      </c>
      <c r="V19">
        <f t="shared" si="3"/>
        <v>2.5584872453241994E-2</v>
      </c>
      <c r="X19">
        <f t="shared" si="4"/>
        <v>91.25</v>
      </c>
      <c r="Y19">
        <f t="shared" si="5"/>
        <v>280.15435336299987</v>
      </c>
      <c r="AD19" t="s">
        <v>82</v>
      </c>
      <c r="AE19">
        <v>1.6</v>
      </c>
      <c r="AF19">
        <v>1.6</v>
      </c>
      <c r="AG19">
        <v>1.6</v>
      </c>
      <c r="AH19">
        <v>1.6</v>
      </c>
      <c r="AI19">
        <v>1.6</v>
      </c>
      <c r="AJ19">
        <v>1.6</v>
      </c>
    </row>
    <row r="20" spans="1:36" x14ac:dyDescent="0.2">
      <c r="D20" t="s">
        <v>81</v>
      </c>
      <c r="F20">
        <v>0</v>
      </c>
      <c r="G20">
        <v>0</v>
      </c>
      <c r="H20">
        <f>(F20/100*MIN(G20,100)/100)</f>
        <v>0</v>
      </c>
      <c r="K20">
        <f>$AG$18</f>
        <v>2.5</v>
      </c>
      <c r="M20">
        <f>$AG$46</f>
        <v>0.61</v>
      </c>
      <c r="N20">
        <f t="shared" si="0"/>
        <v>0.48354999999999998</v>
      </c>
      <c r="P20">
        <f>$AG$73</f>
        <v>42</v>
      </c>
      <c r="Q20">
        <f t="shared" si="6"/>
        <v>0.80052120768394575</v>
      </c>
      <c r="R20">
        <f t="shared" si="1"/>
        <v>0.99999627334682795</v>
      </c>
      <c r="S20">
        <f t="shared" ref="S20:S26" si="7">(H20 * I20) + (1 - H20)</f>
        <v>1</v>
      </c>
      <c r="T20">
        <f t="shared" si="2"/>
        <v>0.80051822441904785</v>
      </c>
      <c r="U20">
        <v>130</v>
      </c>
      <c r="V20">
        <f t="shared" si="3"/>
        <v>1.6629742619078101E-2</v>
      </c>
      <c r="X20">
        <f t="shared" si="4"/>
        <v>91.25</v>
      </c>
      <c r="Y20">
        <f t="shared" si="5"/>
        <v>197.27032181881395</v>
      </c>
      <c r="AD20" t="s">
        <v>83</v>
      </c>
      <c r="AE20">
        <v>1.7</v>
      </c>
      <c r="AF20">
        <v>1.7</v>
      </c>
      <c r="AG20">
        <v>1.7</v>
      </c>
      <c r="AH20">
        <v>1.7</v>
      </c>
      <c r="AI20">
        <v>1.7</v>
      </c>
      <c r="AJ20">
        <v>1.7</v>
      </c>
    </row>
    <row r="21" spans="1:36" x14ac:dyDescent="0.2">
      <c r="D21" t="s">
        <v>82</v>
      </c>
      <c r="F21">
        <v>0</v>
      </c>
      <c r="G21">
        <v>0</v>
      </c>
      <c r="H21">
        <f t="shared" ref="H21:H23" si="8">(F21/100*MIN(G21,100)/100)</f>
        <v>0</v>
      </c>
      <c r="K21">
        <f>$AG$19</f>
        <v>1.6</v>
      </c>
      <c r="M21">
        <f>$AG$47</f>
        <v>0.64</v>
      </c>
      <c r="N21">
        <f t="shared" si="0"/>
        <v>0.50740000000000007</v>
      </c>
      <c r="P21">
        <f>$AG$74</f>
        <v>43</v>
      </c>
      <c r="Q21">
        <f t="shared" si="6"/>
        <v>0.86186034677094148</v>
      </c>
      <c r="R21">
        <f t="shared" si="1"/>
        <v>0.99402397710499402</v>
      </c>
      <c r="S21">
        <f t="shared" si="7"/>
        <v>1</v>
      </c>
      <c r="T21">
        <f t="shared" si="2"/>
        <v>0.85670984960634056</v>
      </c>
      <c r="U21">
        <v>120</v>
      </c>
      <c r="V21">
        <f t="shared" si="3"/>
        <v>1.7686145172599206E-2</v>
      </c>
      <c r="X21">
        <f t="shared" si="4"/>
        <v>91.25</v>
      </c>
      <c r="Y21">
        <f t="shared" si="5"/>
        <v>193.66328963996131</v>
      </c>
      <c r="AC21" t="s">
        <v>86</v>
      </c>
      <c r="AD21" t="s">
        <v>80</v>
      </c>
      <c r="AE21">
        <v>1.5</v>
      </c>
      <c r="AF21">
        <v>1.5</v>
      </c>
      <c r="AG21">
        <v>1.5</v>
      </c>
      <c r="AH21">
        <v>1.5</v>
      </c>
      <c r="AI21">
        <v>1.5</v>
      </c>
      <c r="AJ21">
        <v>1.5</v>
      </c>
    </row>
    <row r="22" spans="1:36" x14ac:dyDescent="0.2">
      <c r="D22" t="s">
        <v>83</v>
      </c>
      <c r="F22">
        <v>0</v>
      </c>
      <c r="G22">
        <v>0</v>
      </c>
      <c r="H22">
        <f t="shared" si="8"/>
        <v>0</v>
      </c>
      <c r="K22">
        <f>$AG$20</f>
        <v>1.7</v>
      </c>
      <c r="M22">
        <f>$AG$48</f>
        <v>0.72</v>
      </c>
      <c r="N22">
        <f t="shared" si="0"/>
        <v>0.57100000000000006</v>
      </c>
      <c r="P22">
        <f>$AG$75</f>
        <v>45</v>
      </c>
      <c r="Q22">
        <f t="shared" si="6"/>
        <v>1.0181162441707754</v>
      </c>
      <c r="R22">
        <f t="shared" si="1"/>
        <v>0.99691128459176326</v>
      </c>
      <c r="S22">
        <f t="shared" si="7"/>
        <v>1</v>
      </c>
      <c r="T22">
        <f t="shared" si="2"/>
        <v>1.014971572840029</v>
      </c>
      <c r="U22">
        <v>110</v>
      </c>
      <c r="V22">
        <f t="shared" si="3"/>
        <v>2.0661465569392547E-2</v>
      </c>
      <c r="X22">
        <f t="shared" si="4"/>
        <v>91.25</v>
      </c>
      <c r="Y22">
        <f t="shared" si="5"/>
        <v>207.3894606527777</v>
      </c>
      <c r="AD22" t="s">
        <v>81</v>
      </c>
      <c r="AE22">
        <v>2</v>
      </c>
      <c r="AF22">
        <v>2</v>
      </c>
      <c r="AG22">
        <v>2</v>
      </c>
      <c r="AH22">
        <v>2</v>
      </c>
      <c r="AI22">
        <v>2</v>
      </c>
      <c r="AJ22">
        <v>2</v>
      </c>
    </row>
    <row r="23" spans="1:36" x14ac:dyDescent="0.2">
      <c r="A23">
        <v>4</v>
      </c>
      <c r="C23" t="s">
        <v>75</v>
      </c>
      <c r="D23" t="s">
        <v>80</v>
      </c>
      <c r="F23">
        <v>95</v>
      </c>
      <c r="G23">
        <v>88</v>
      </c>
      <c r="H23">
        <f t="shared" si="8"/>
        <v>0.83599999999999997</v>
      </c>
      <c r="I23">
        <f>$AE$3</f>
        <v>1.3</v>
      </c>
      <c r="K23">
        <f>$AH$17</f>
        <v>2.9</v>
      </c>
      <c r="M23">
        <f>$AH$45</f>
        <v>0.75</v>
      </c>
      <c r="N23">
        <f t="shared" si="0"/>
        <v>0.5948500000000001</v>
      </c>
      <c r="P23">
        <f>$AH$72</f>
        <v>54</v>
      </c>
      <c r="Q23">
        <f t="shared" si="6"/>
        <v>1.2720847291262878</v>
      </c>
      <c r="R23">
        <f t="shared" si="1"/>
        <v>0.9999999504359468</v>
      </c>
      <c r="S23">
        <f t="shared" si="7"/>
        <v>1.2507999999999999</v>
      </c>
      <c r="T23">
        <f t="shared" si="2"/>
        <v>1.5911235003286268</v>
      </c>
      <c r="U23">
        <v>80</v>
      </c>
      <c r="V23">
        <f t="shared" si="3"/>
        <v>3.1493121806178186E-2</v>
      </c>
      <c r="X23">
        <f t="shared" si="4"/>
        <v>91.25</v>
      </c>
      <c r="Y23">
        <f t="shared" si="5"/>
        <v>229.89978918510076</v>
      </c>
      <c r="AD23" t="s">
        <v>82</v>
      </c>
      <c r="AE23">
        <v>2.2000000000000002</v>
      </c>
      <c r="AF23">
        <v>2.2000000000000002</v>
      </c>
      <c r="AG23">
        <v>2.2000000000000002</v>
      </c>
      <c r="AH23">
        <v>2.2000000000000002</v>
      </c>
      <c r="AI23">
        <v>2.2000000000000002</v>
      </c>
      <c r="AJ23">
        <v>2.2000000000000002</v>
      </c>
    </row>
    <row r="24" spans="1:36" x14ac:dyDescent="0.2">
      <c r="D24" t="s">
        <v>81</v>
      </c>
      <c r="F24">
        <v>0</v>
      </c>
      <c r="G24">
        <v>0</v>
      </c>
      <c r="H24">
        <v>0</v>
      </c>
      <c r="K24">
        <f>$AH$18</f>
        <v>2.5</v>
      </c>
      <c r="M24">
        <f>$AH$46</f>
        <v>0.61</v>
      </c>
      <c r="N24">
        <f t="shared" si="0"/>
        <v>0.48354999999999998</v>
      </c>
      <c r="P24">
        <f>$AH$73</f>
        <v>49</v>
      </c>
      <c r="Q24">
        <f t="shared" si="6"/>
        <v>0.93843421889903578</v>
      </c>
      <c r="R24">
        <f t="shared" si="1"/>
        <v>0.99999627334682795</v>
      </c>
      <c r="S24">
        <f t="shared" si="7"/>
        <v>1</v>
      </c>
      <c r="T24">
        <f t="shared" si="2"/>
        <v>0.93843072168017716</v>
      </c>
      <c r="U24">
        <v>90</v>
      </c>
      <c r="V24">
        <f t="shared" si="3"/>
        <v>1.9222497567587333E-2</v>
      </c>
      <c r="X24">
        <f t="shared" si="4"/>
        <v>91.25</v>
      </c>
      <c r="Y24">
        <f t="shared" si="5"/>
        <v>157.86476127381098</v>
      </c>
      <c r="AD24" t="s">
        <v>83</v>
      </c>
      <c r="AE24">
        <v>1.7</v>
      </c>
      <c r="AF24">
        <v>1.7</v>
      </c>
      <c r="AG24">
        <v>1.7</v>
      </c>
      <c r="AH24">
        <v>1.7</v>
      </c>
      <c r="AI24">
        <v>1.7</v>
      </c>
      <c r="AJ24">
        <v>1.7</v>
      </c>
    </row>
    <row r="25" spans="1:36" x14ac:dyDescent="0.2">
      <c r="D25" t="s">
        <v>82</v>
      </c>
      <c r="F25">
        <v>0</v>
      </c>
      <c r="G25">
        <v>0</v>
      </c>
      <c r="H25">
        <v>0</v>
      </c>
      <c r="K25">
        <f>$AH$19</f>
        <v>1.6</v>
      </c>
      <c r="M25">
        <f>$AH$47</f>
        <v>0.64</v>
      </c>
      <c r="N25">
        <f t="shared" si="0"/>
        <v>0.50740000000000007</v>
      </c>
      <c r="P25">
        <f>$AH$74</f>
        <v>50</v>
      </c>
      <c r="Q25">
        <f t="shared" si="6"/>
        <v>1.0054871153505722</v>
      </c>
      <c r="R25">
        <f t="shared" si="1"/>
        <v>0.99402397710499402</v>
      </c>
      <c r="S25">
        <f t="shared" si="7"/>
        <v>1</v>
      </c>
      <c r="T25">
        <f t="shared" si="2"/>
        <v>0.99947830132860371</v>
      </c>
      <c r="U25">
        <v>80</v>
      </c>
      <c r="V25">
        <f t="shared" si="3"/>
        <v>2.0370192064977751E-2</v>
      </c>
      <c r="X25">
        <f t="shared" si="4"/>
        <v>91.25</v>
      </c>
      <c r="Y25">
        <f t="shared" si="5"/>
        <v>148.70240207433758</v>
      </c>
      <c r="AC25" t="s">
        <v>87</v>
      </c>
      <c r="AD25" t="s">
        <v>80</v>
      </c>
      <c r="AE25">
        <v>4</v>
      </c>
      <c r="AF25">
        <v>4</v>
      </c>
      <c r="AG25">
        <v>4</v>
      </c>
      <c r="AH25">
        <v>4</v>
      </c>
      <c r="AI25">
        <v>4</v>
      </c>
      <c r="AJ25">
        <v>4</v>
      </c>
    </row>
    <row r="26" spans="1:36" x14ac:dyDescent="0.2">
      <c r="D26" t="s">
        <v>83</v>
      </c>
      <c r="F26">
        <v>0</v>
      </c>
      <c r="G26">
        <v>0</v>
      </c>
      <c r="H26">
        <v>0</v>
      </c>
      <c r="K26">
        <f>$AH$20</f>
        <v>1.7</v>
      </c>
      <c r="M26">
        <f>$AH$48</f>
        <v>0.72</v>
      </c>
      <c r="N26">
        <f t="shared" si="0"/>
        <v>0.57100000000000006</v>
      </c>
      <c r="P26">
        <f>$AH$75</f>
        <v>50</v>
      </c>
      <c r="Q26">
        <f t="shared" si="6"/>
        <v>1.1306948910936463</v>
      </c>
      <c r="R26">
        <f t="shared" si="1"/>
        <v>0.99691128459176326</v>
      </c>
      <c r="S26">
        <f t="shared" si="7"/>
        <v>1</v>
      </c>
      <c r="T26">
        <f t="shared" si="2"/>
        <v>1.1272024963615108</v>
      </c>
      <c r="U26">
        <v>70</v>
      </c>
      <c r="V26">
        <f t="shared" si="3"/>
        <v>2.2771406931596405E-2</v>
      </c>
      <c r="X26">
        <f t="shared" si="4"/>
        <v>91.25</v>
      </c>
      <c r="Y26">
        <f t="shared" si="5"/>
        <v>145.45236177557203</v>
      </c>
      <c r="AD26" t="s">
        <v>81</v>
      </c>
      <c r="AE26">
        <v>2.5</v>
      </c>
      <c r="AF26">
        <v>2.5</v>
      </c>
      <c r="AG26">
        <v>2.5</v>
      </c>
      <c r="AH26">
        <v>2.5</v>
      </c>
      <c r="AI26">
        <v>2.5</v>
      </c>
      <c r="AJ26">
        <v>2.5</v>
      </c>
    </row>
    <row r="27" spans="1:36" x14ac:dyDescent="0.2">
      <c r="A27">
        <v>5</v>
      </c>
      <c r="C27" t="s">
        <v>76</v>
      </c>
      <c r="D27" t="s">
        <v>80</v>
      </c>
      <c r="F27">
        <v>0</v>
      </c>
      <c r="G27">
        <v>0</v>
      </c>
      <c r="H27">
        <v>0</v>
      </c>
      <c r="K27">
        <f>$AI$17</f>
        <v>2.9</v>
      </c>
      <c r="M27">
        <f>$AI$45</f>
        <v>0.75</v>
      </c>
      <c r="N27">
        <f t="shared" si="0"/>
        <v>0.5948500000000001</v>
      </c>
      <c r="P27">
        <f>$AI$72</f>
        <v>56</v>
      </c>
      <c r="Q27">
        <f t="shared" si="6"/>
        <v>1.3198285488795851</v>
      </c>
      <c r="R27">
        <f t="shared" si="1"/>
        <v>0.9999999504359468</v>
      </c>
      <c r="S27">
        <v>1</v>
      </c>
      <c r="T27">
        <f t="shared" si="2"/>
        <v>1.3198284834635328</v>
      </c>
      <c r="U27">
        <v>50</v>
      </c>
      <c r="V27">
        <f t="shared" si="3"/>
        <v>2.6392775489114419E-2</v>
      </c>
      <c r="X27">
        <f t="shared" si="4"/>
        <v>91.25</v>
      </c>
      <c r="Y27">
        <f t="shared" si="5"/>
        <v>120.41703816908453</v>
      </c>
      <c r="AD27" t="s">
        <v>82</v>
      </c>
      <c r="AE27">
        <v>0.7</v>
      </c>
      <c r="AF27">
        <v>0.7</v>
      </c>
      <c r="AG27">
        <v>0.7</v>
      </c>
      <c r="AH27">
        <v>0.7</v>
      </c>
      <c r="AI27">
        <v>0.7</v>
      </c>
      <c r="AJ27">
        <v>0.7</v>
      </c>
    </row>
    <row r="28" spans="1:36" x14ac:dyDescent="0.2">
      <c r="D28" t="s">
        <v>81</v>
      </c>
      <c r="F28">
        <v>0</v>
      </c>
      <c r="G28">
        <v>0</v>
      </c>
      <c r="H28">
        <v>0</v>
      </c>
      <c r="K28">
        <f>$AI$18</f>
        <v>2.5</v>
      </c>
      <c r="M28">
        <f>$AI$46</f>
        <v>0.61</v>
      </c>
      <c r="N28">
        <f t="shared" si="0"/>
        <v>0.48354999999999998</v>
      </c>
      <c r="P28">
        <f>$AI$73</f>
        <v>51</v>
      </c>
      <c r="Q28">
        <f t="shared" si="6"/>
        <v>0.97873546256970145</v>
      </c>
      <c r="R28">
        <f t="shared" si="1"/>
        <v>0.99999627334682795</v>
      </c>
      <c r="S28">
        <v>1</v>
      </c>
      <c r="T28">
        <f t="shared" si="2"/>
        <v>0.97873181516208529</v>
      </c>
      <c r="U28">
        <v>55</v>
      </c>
      <c r="V28">
        <f t="shared" si="3"/>
        <v>1.9980158125047207E-2</v>
      </c>
      <c r="X28">
        <f t="shared" si="4"/>
        <v>91.25</v>
      </c>
      <c r="Y28">
        <f t="shared" si="5"/>
        <v>100.27541859008066</v>
      </c>
      <c r="AD28" t="s">
        <v>83</v>
      </c>
      <c r="AE28">
        <v>0.9</v>
      </c>
      <c r="AF28">
        <v>0.9</v>
      </c>
      <c r="AG28">
        <v>0.9</v>
      </c>
      <c r="AH28">
        <v>0.9</v>
      </c>
      <c r="AI28">
        <v>0.9</v>
      </c>
      <c r="AJ28">
        <v>0.9</v>
      </c>
    </row>
    <row r="29" spans="1:36" x14ac:dyDescent="0.2">
      <c r="D29" t="s">
        <v>82</v>
      </c>
      <c r="F29">
        <v>0</v>
      </c>
      <c r="G29">
        <v>0</v>
      </c>
      <c r="H29">
        <v>0</v>
      </c>
      <c r="K29">
        <f>$AI$19</f>
        <v>1.6</v>
      </c>
      <c r="M29">
        <f>$AI$47</f>
        <v>0.64</v>
      </c>
      <c r="N29">
        <f t="shared" si="0"/>
        <v>0.50740000000000007</v>
      </c>
      <c r="P29">
        <f>$AI$74</f>
        <v>50</v>
      </c>
      <c r="Q29">
        <f t="shared" si="6"/>
        <v>1.0054871153505722</v>
      </c>
      <c r="R29">
        <f t="shared" si="1"/>
        <v>0.99402397710499402</v>
      </c>
      <c r="S29">
        <v>1</v>
      </c>
      <c r="T29">
        <f t="shared" si="2"/>
        <v>0.99947830132860371</v>
      </c>
      <c r="U29">
        <v>45</v>
      </c>
      <c r="V29">
        <f t="shared" si="3"/>
        <v>2.0370192064977751E-2</v>
      </c>
      <c r="X29">
        <f t="shared" si="4"/>
        <v>91.25</v>
      </c>
      <c r="Y29">
        <f t="shared" si="5"/>
        <v>83.645101166814896</v>
      </c>
      <c r="AC29" t="s">
        <v>88</v>
      </c>
      <c r="AD29" t="s">
        <v>80</v>
      </c>
      <c r="AE29">
        <v>2.5</v>
      </c>
      <c r="AF29">
        <v>2.5</v>
      </c>
      <c r="AG29">
        <v>2.5</v>
      </c>
      <c r="AH29">
        <v>2.5</v>
      </c>
      <c r="AI29">
        <v>2.5</v>
      </c>
      <c r="AJ29">
        <v>2.5</v>
      </c>
    </row>
    <row r="30" spans="1:36" x14ac:dyDescent="0.2">
      <c r="D30" t="s">
        <v>83</v>
      </c>
      <c r="F30">
        <v>0</v>
      </c>
      <c r="G30">
        <v>0</v>
      </c>
      <c r="H30">
        <v>0</v>
      </c>
      <c r="K30">
        <f>$AI$20</f>
        <v>1.7</v>
      </c>
      <c r="M30">
        <f>$AI$48</f>
        <v>0.72</v>
      </c>
      <c r="N30">
        <f t="shared" si="0"/>
        <v>0.57100000000000006</v>
      </c>
      <c r="P30">
        <f>$AI$75</f>
        <v>51</v>
      </c>
      <c r="Q30">
        <f t="shared" si="6"/>
        <v>1.1534721617679149</v>
      </c>
      <c r="R30">
        <f t="shared" si="1"/>
        <v>0.99691128459176326</v>
      </c>
      <c r="S30">
        <v>1</v>
      </c>
      <c r="T30">
        <f t="shared" si="2"/>
        <v>1.1499094145288902</v>
      </c>
      <c r="U30">
        <v>40</v>
      </c>
      <c r="V30">
        <f t="shared" si="3"/>
        <v>2.3198296993143137E-2</v>
      </c>
      <c r="X30">
        <f t="shared" si="4"/>
        <v>91.25</v>
      </c>
      <c r="Y30">
        <f t="shared" si="5"/>
        <v>84.673784024972448</v>
      </c>
      <c r="AD30" t="s">
        <v>81</v>
      </c>
      <c r="AE30">
        <v>2.5</v>
      </c>
      <c r="AF30">
        <v>2.5</v>
      </c>
      <c r="AG30">
        <v>2.5</v>
      </c>
      <c r="AH30">
        <v>2.5</v>
      </c>
      <c r="AI30">
        <v>2.5</v>
      </c>
      <c r="AJ30">
        <v>2.5</v>
      </c>
    </row>
    <row r="31" spans="1:36" x14ac:dyDescent="0.2">
      <c r="A31">
        <v>6</v>
      </c>
      <c r="C31" t="s">
        <v>77</v>
      </c>
      <c r="D31" t="s">
        <v>80</v>
      </c>
      <c r="F31">
        <v>0</v>
      </c>
      <c r="G31">
        <v>0</v>
      </c>
      <c r="H31">
        <v>0</v>
      </c>
      <c r="K31">
        <f>$AJ$17</f>
        <v>2.9</v>
      </c>
      <c r="M31">
        <f>$AJ$45</f>
        <v>0.75</v>
      </c>
      <c r="N31">
        <f t="shared" si="0"/>
        <v>0.5948500000000001</v>
      </c>
      <c r="P31">
        <f>$AJ$72</f>
        <v>20</v>
      </c>
      <c r="Q31">
        <f t="shared" si="6"/>
        <v>0.5052226861752882</v>
      </c>
      <c r="R31">
        <f t="shared" si="1"/>
        <v>0.9999999504359468</v>
      </c>
      <c r="S31">
        <v>1</v>
      </c>
      <c r="T31">
        <f t="shared" si="2"/>
        <v>0.50522266113440406</v>
      </c>
      <c r="U31">
        <v>30</v>
      </c>
      <c r="V31">
        <f t="shared" si="3"/>
        <v>1.1078186029326796E-2</v>
      </c>
      <c r="X31">
        <f t="shared" si="4"/>
        <v>91.25</v>
      </c>
      <c r="Y31">
        <f t="shared" si="5"/>
        <v>30.326534255282102</v>
      </c>
      <c r="AD31" t="s">
        <v>82</v>
      </c>
      <c r="AE31">
        <v>1.3</v>
      </c>
      <c r="AF31">
        <v>1.3</v>
      </c>
      <c r="AG31">
        <v>1.3</v>
      </c>
      <c r="AH31">
        <v>1.3</v>
      </c>
      <c r="AI31">
        <v>1.3</v>
      </c>
      <c r="AJ31">
        <v>1.3</v>
      </c>
    </row>
    <row r="32" spans="1:36" x14ac:dyDescent="0.2">
      <c r="D32" t="s">
        <v>81</v>
      </c>
      <c r="F32">
        <v>0</v>
      </c>
      <c r="G32">
        <v>0</v>
      </c>
      <c r="H32">
        <v>0</v>
      </c>
      <c r="K32">
        <f>$AJ$18</f>
        <v>2.5</v>
      </c>
      <c r="M32">
        <f>$AJ$46</f>
        <v>0.61</v>
      </c>
      <c r="N32">
        <f t="shared" si="0"/>
        <v>0.48354999999999998</v>
      </c>
      <c r="P32">
        <f>$AJ$73</f>
        <v>27</v>
      </c>
      <c r="Q32">
        <f t="shared" si="6"/>
        <v>0.52017847077168489</v>
      </c>
      <c r="R32">
        <f t="shared" si="1"/>
        <v>0.99999627334682795</v>
      </c>
      <c r="S32">
        <v>1</v>
      </c>
      <c r="T32">
        <f t="shared" si="2"/>
        <v>0.52017653224693672</v>
      </c>
      <c r="U32">
        <v>90</v>
      </c>
      <c r="V32">
        <f t="shared" si="3"/>
        <v>1.135931880624241E-2</v>
      </c>
      <c r="X32">
        <f t="shared" si="4"/>
        <v>91.25</v>
      </c>
      <c r="Y32">
        <f t="shared" si="5"/>
        <v>93.288405696265798</v>
      </c>
      <c r="AD32" t="s">
        <v>83</v>
      </c>
      <c r="AE32">
        <v>0.8</v>
      </c>
      <c r="AF32">
        <v>0.8</v>
      </c>
      <c r="AG32">
        <v>0.8</v>
      </c>
      <c r="AH32">
        <v>0.8</v>
      </c>
      <c r="AI32">
        <v>0.8</v>
      </c>
      <c r="AJ32">
        <v>0.8</v>
      </c>
    </row>
    <row r="33" spans="1:36" x14ac:dyDescent="0.2">
      <c r="D33" t="s">
        <v>82</v>
      </c>
      <c r="F33">
        <v>0</v>
      </c>
      <c r="G33">
        <v>0</v>
      </c>
      <c r="H33">
        <v>0</v>
      </c>
      <c r="K33">
        <f>$AJ$19</f>
        <v>1.6</v>
      </c>
      <c r="M33">
        <f>$AJ$47</f>
        <v>0.64</v>
      </c>
      <c r="N33">
        <f t="shared" si="0"/>
        <v>0.50740000000000007</v>
      </c>
      <c r="P33">
        <f>$AJ$74</f>
        <v>32</v>
      </c>
      <c r="Q33">
        <f t="shared" si="6"/>
        <v>0.64511931548462409</v>
      </c>
      <c r="R33">
        <f t="shared" si="1"/>
        <v>0.99402397710499402</v>
      </c>
      <c r="S33">
        <v>1</v>
      </c>
      <c r="T33">
        <f t="shared" si="2"/>
        <v>0.64126406768527744</v>
      </c>
      <c r="U33">
        <v>80</v>
      </c>
      <c r="V33">
        <f t="shared" si="3"/>
        <v>1.3635764472483216E-2</v>
      </c>
      <c r="X33">
        <f t="shared" si="4"/>
        <v>91.25</v>
      </c>
      <c r="Y33">
        <f t="shared" si="5"/>
        <v>99.54108064912748</v>
      </c>
      <c r="AC33" t="s">
        <v>89</v>
      </c>
      <c r="AD33" t="s">
        <v>80</v>
      </c>
      <c r="AE33">
        <v>3.2</v>
      </c>
      <c r="AF33">
        <v>3.2</v>
      </c>
      <c r="AG33">
        <v>3.2</v>
      </c>
      <c r="AH33">
        <v>3.2</v>
      </c>
      <c r="AI33">
        <v>3.2</v>
      </c>
      <c r="AJ33">
        <v>3.2</v>
      </c>
    </row>
    <row r="34" spans="1:36" x14ac:dyDescent="0.2">
      <c r="D34" t="s">
        <v>83</v>
      </c>
      <c r="F34">
        <v>0</v>
      </c>
      <c r="G34">
        <v>0</v>
      </c>
      <c r="H34">
        <v>0</v>
      </c>
      <c r="K34">
        <f>$AJ$20</f>
        <v>1.7</v>
      </c>
      <c r="M34">
        <f>$AJ$48</f>
        <v>0.72</v>
      </c>
      <c r="N34">
        <f t="shared" si="0"/>
        <v>0.57100000000000006</v>
      </c>
      <c r="P34">
        <f>$AJ$75</f>
        <v>34</v>
      </c>
      <c r="Q34">
        <f t="shared" si="6"/>
        <v>0.77753323213623582</v>
      </c>
      <c r="R34">
        <f t="shared" si="1"/>
        <v>0.99691128459176326</v>
      </c>
      <c r="S34">
        <v>1</v>
      </c>
      <c r="T34">
        <f t="shared" si="2"/>
        <v>0.77513165326172051</v>
      </c>
      <c r="U34">
        <v>70</v>
      </c>
      <c r="V34">
        <f t="shared" si="3"/>
        <v>1.6152475081320346E-2</v>
      </c>
      <c r="X34">
        <f t="shared" si="4"/>
        <v>91.25</v>
      </c>
      <c r="Y34">
        <f t="shared" si="5"/>
        <v>103.17393458193371</v>
      </c>
      <c r="AD34" t="s">
        <v>81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</row>
    <row r="35" spans="1:36" x14ac:dyDescent="0.2">
      <c r="AD35" t="s">
        <v>82</v>
      </c>
      <c r="AE35">
        <v>1.8</v>
      </c>
      <c r="AF35">
        <v>1.8</v>
      </c>
      <c r="AG35">
        <v>1.8</v>
      </c>
      <c r="AH35">
        <v>1.8</v>
      </c>
      <c r="AI35">
        <v>1.8</v>
      </c>
      <c r="AJ35">
        <v>1.8</v>
      </c>
    </row>
    <row r="36" spans="1:36" x14ac:dyDescent="0.2">
      <c r="AD36" t="s">
        <v>83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</row>
    <row r="37" spans="1:36" x14ac:dyDescent="0.2">
      <c r="AC37" t="s">
        <v>90</v>
      </c>
      <c r="AD37" t="s">
        <v>80</v>
      </c>
      <c r="AE37">
        <v>3.5</v>
      </c>
      <c r="AF37">
        <v>3.5</v>
      </c>
      <c r="AG37">
        <v>3.5</v>
      </c>
      <c r="AH37">
        <v>3.5</v>
      </c>
      <c r="AI37">
        <v>3.5</v>
      </c>
      <c r="AJ37">
        <v>3.5</v>
      </c>
    </row>
    <row r="38" spans="1:36" x14ac:dyDescent="0.2">
      <c r="AD38" t="s">
        <v>81</v>
      </c>
      <c r="AE38">
        <v>1.5</v>
      </c>
      <c r="AF38">
        <v>1.5</v>
      </c>
      <c r="AG38">
        <v>1.5</v>
      </c>
      <c r="AH38">
        <v>1.5</v>
      </c>
      <c r="AI38">
        <v>1.5</v>
      </c>
      <c r="AJ38">
        <v>1.5</v>
      </c>
    </row>
    <row r="39" spans="1:36" x14ac:dyDescent="0.2">
      <c r="AD39" t="s">
        <v>82</v>
      </c>
      <c r="AE39">
        <v>0.7</v>
      </c>
      <c r="AF39">
        <v>0.7</v>
      </c>
      <c r="AG39">
        <v>0.7</v>
      </c>
      <c r="AH39">
        <v>0.7</v>
      </c>
      <c r="AI39">
        <v>0.7</v>
      </c>
      <c r="AJ39">
        <v>0.7</v>
      </c>
    </row>
    <row r="40" spans="1:36" x14ac:dyDescent="0.2">
      <c r="AD40" t="s">
        <v>83</v>
      </c>
      <c r="AE40">
        <v>1.2</v>
      </c>
      <c r="AF40">
        <v>1.2</v>
      </c>
      <c r="AG40">
        <v>1.2</v>
      </c>
      <c r="AH40">
        <v>1.2</v>
      </c>
      <c r="AI40">
        <v>1.2</v>
      </c>
      <c r="AJ40">
        <v>1.2</v>
      </c>
    </row>
    <row r="41" spans="1:36" x14ac:dyDescent="0.2">
      <c r="A41" t="s">
        <v>99</v>
      </c>
      <c r="B41" t="s">
        <v>98</v>
      </c>
      <c r="C41" t="s">
        <v>72</v>
      </c>
      <c r="D41" t="s">
        <v>80</v>
      </c>
      <c r="F41">
        <v>0</v>
      </c>
      <c r="G41">
        <v>0</v>
      </c>
      <c r="H41">
        <v>0</v>
      </c>
      <c r="K41">
        <f>$AE$21</f>
        <v>1.5</v>
      </c>
      <c r="M41">
        <f>$AE$49</f>
        <v>0.51</v>
      </c>
      <c r="N41">
        <f>(0.795 * M41) - 0.0014</f>
        <v>0.40405000000000002</v>
      </c>
      <c r="P41">
        <f>$AE$76</f>
        <v>58</v>
      </c>
      <c r="Q41">
        <f>(104.7 * N41 + 0.307 * P41- 15) * POWER(P41, 0.75) * 10^-3</f>
        <v>0.94807819706718344</v>
      </c>
      <c r="R41">
        <f>1-EXP(-2*POWER(K41,2))</f>
        <v>0.98889100346175773</v>
      </c>
      <c r="S41">
        <v>1</v>
      </c>
      <c r="T41">
        <f>Q41 * R41 * S41</f>
        <v>0.93754599965798113</v>
      </c>
      <c r="U41">
        <v>25</v>
      </c>
      <c r="V41">
        <f>(T41 * 0.0188) + 0.00158</f>
        <v>1.9205864793570046E-2</v>
      </c>
      <c r="X41">
        <f>$AE$4</f>
        <v>91.25</v>
      </c>
      <c r="Y41">
        <f>U41*V41*X41</f>
        <v>43.81337906033167</v>
      </c>
      <c r="Z41">
        <f>SUM(Y41:Y64)*10^-3</f>
        <v>1.3794354873019006</v>
      </c>
    </row>
    <row r="42" spans="1:36" x14ac:dyDescent="0.2">
      <c r="D42" t="s">
        <v>81</v>
      </c>
      <c r="F42">
        <v>0</v>
      </c>
      <c r="G42">
        <v>0</v>
      </c>
      <c r="H42">
        <v>0</v>
      </c>
      <c r="K42">
        <f>$AE$22</f>
        <v>2</v>
      </c>
      <c r="M42">
        <f>$AE$50</f>
        <v>0.55000000000000004</v>
      </c>
      <c r="N42">
        <f t="shared" ref="N42:N64" si="9">(0.795 * M42) - 0.0014</f>
        <v>0.43585000000000007</v>
      </c>
      <c r="P42">
        <f>$AE$77</f>
        <v>61</v>
      </c>
      <c r="Q42">
        <f>(104.7 * N42 + 0.307 * P42- 15) * POWER(P42, 0.75) * 10^-3</f>
        <v>1.0773997799878814</v>
      </c>
      <c r="R42">
        <f t="shared" ref="R42:R64" si="10">1-EXP(-2*POWER(K42,2))</f>
        <v>0.99966453737209748</v>
      </c>
      <c r="S42">
        <v>1</v>
      </c>
      <c r="T42">
        <f t="shared" ref="T42:T64" si="11">Q42 * R42 * S42</f>
        <v>1.0770383526263851</v>
      </c>
      <c r="U42">
        <v>20</v>
      </c>
      <c r="V42">
        <f t="shared" ref="V42:V64" si="12">(T42 * 0.0188) + 0.00158</f>
        <v>2.1828321029376044E-2</v>
      </c>
      <c r="X42">
        <f t="shared" ref="X42:X64" si="13">$AE$4</f>
        <v>91.25</v>
      </c>
      <c r="Y42">
        <f t="shared" ref="Y42:Y64" si="14">U42*V42*X42</f>
        <v>39.836685878611277</v>
      </c>
    </row>
    <row r="43" spans="1:36" x14ac:dyDescent="0.2">
      <c r="D43" t="s">
        <v>82</v>
      </c>
      <c r="F43">
        <v>0</v>
      </c>
      <c r="G43">
        <v>0</v>
      </c>
      <c r="H43">
        <v>0</v>
      </c>
      <c r="K43">
        <f>$AE$23</f>
        <v>2.2000000000000002</v>
      </c>
      <c r="M43">
        <f>$AE$51</f>
        <v>0.59</v>
      </c>
      <c r="N43">
        <f t="shared" si="9"/>
        <v>0.46765000000000001</v>
      </c>
      <c r="P43">
        <f>$AE$78</f>
        <v>63</v>
      </c>
      <c r="Q43">
        <f t="shared" ref="Q43:Q48" si="15">(104.7 * N43 + 0.307 * P43- 15) * POWER(P43, 0.75) * 10^-3</f>
        <v>1.1919686844423474</v>
      </c>
      <c r="R43">
        <f t="shared" si="10"/>
        <v>0.99993747849622516</v>
      </c>
      <c r="S43">
        <v>1</v>
      </c>
      <c r="T43">
        <f t="shared" si="11"/>
        <v>1.1918941607677436</v>
      </c>
      <c r="U43">
        <v>19</v>
      </c>
      <c r="V43">
        <f t="shared" si="12"/>
        <v>2.3987610222433581E-2</v>
      </c>
      <c r="X43">
        <f t="shared" si="13"/>
        <v>91.25</v>
      </c>
      <c r="Y43">
        <f t="shared" si="14"/>
        <v>41.588519223144225</v>
      </c>
      <c r="AD43" t="s">
        <v>92</v>
      </c>
    </row>
    <row r="44" spans="1:36" x14ac:dyDescent="0.2">
      <c r="D44" t="s">
        <v>83</v>
      </c>
      <c r="F44">
        <v>0</v>
      </c>
      <c r="G44">
        <v>0</v>
      </c>
      <c r="H44">
        <v>0</v>
      </c>
      <c r="K44">
        <f>$AE$24</f>
        <v>1.7</v>
      </c>
      <c r="M44">
        <f>$AE$52</f>
        <v>0.57999999999999996</v>
      </c>
      <c r="N44">
        <f t="shared" si="9"/>
        <v>0.4597</v>
      </c>
      <c r="P44">
        <f>$AE$79</f>
        <v>60</v>
      </c>
      <c r="Q44">
        <f t="shared" si="15"/>
        <v>1.1113403376673825</v>
      </c>
      <c r="R44">
        <f t="shared" si="10"/>
        <v>0.99691128459176326</v>
      </c>
      <c r="S44">
        <v>1</v>
      </c>
      <c r="T44">
        <f t="shared" si="11"/>
        <v>1.1079077236426342</v>
      </c>
      <c r="U44">
        <v>25</v>
      </c>
      <c r="V44">
        <f t="shared" si="12"/>
        <v>2.2408665204481527E-2</v>
      </c>
      <c r="X44">
        <f t="shared" si="13"/>
        <v>91.25</v>
      </c>
      <c r="Y44">
        <f t="shared" si="14"/>
        <v>51.11976749772348</v>
      </c>
      <c r="AD44" t="s">
        <v>93</v>
      </c>
    </row>
    <row r="45" spans="1:36" x14ac:dyDescent="0.2">
      <c r="A45">
        <v>2</v>
      </c>
      <c r="C45" t="s">
        <v>73</v>
      </c>
      <c r="D45" t="s">
        <v>80</v>
      </c>
      <c r="F45">
        <v>0</v>
      </c>
      <c r="G45">
        <v>0</v>
      </c>
      <c r="H45">
        <v>0</v>
      </c>
      <c r="K45">
        <f>$AF$21</f>
        <v>1.5</v>
      </c>
      <c r="M45">
        <f>$AF$49</f>
        <v>0.51</v>
      </c>
      <c r="N45">
        <f t="shared" si="9"/>
        <v>0.40405000000000002</v>
      </c>
      <c r="P45">
        <f>$AF$76</f>
        <v>50</v>
      </c>
      <c r="Q45">
        <f t="shared" si="15"/>
        <v>0.80202447976807656</v>
      </c>
      <c r="R45">
        <f t="shared" si="10"/>
        <v>0.98889100346175773</v>
      </c>
      <c r="S45">
        <v>1</v>
      </c>
      <c r="T45">
        <f t="shared" si="11"/>
        <v>0.7931147925987474</v>
      </c>
      <c r="U45">
        <v>50</v>
      </c>
      <c r="V45">
        <f t="shared" si="12"/>
        <v>1.6490558100856454E-2</v>
      </c>
      <c r="X45">
        <f t="shared" si="13"/>
        <v>91.25</v>
      </c>
      <c r="Y45">
        <f t="shared" si="14"/>
        <v>75.238171335157574</v>
      </c>
      <c r="AD45" t="s">
        <v>80</v>
      </c>
      <c r="AE45">
        <v>0.75</v>
      </c>
      <c r="AF45">
        <v>0.75</v>
      </c>
      <c r="AG45">
        <v>0.75</v>
      </c>
      <c r="AH45">
        <v>0.75</v>
      </c>
      <c r="AI45">
        <v>0.75</v>
      </c>
      <c r="AJ45">
        <v>0.75</v>
      </c>
    </row>
    <row r="46" spans="1:36" x14ac:dyDescent="0.2">
      <c r="D46" t="s">
        <v>81</v>
      </c>
      <c r="F46">
        <v>0</v>
      </c>
      <c r="G46">
        <v>0</v>
      </c>
      <c r="H46">
        <v>0</v>
      </c>
      <c r="K46">
        <f>$AF$22</f>
        <v>2</v>
      </c>
      <c r="M46">
        <f>$AF$50</f>
        <v>0.55000000000000004</v>
      </c>
      <c r="N46">
        <f t="shared" si="9"/>
        <v>0.43585000000000007</v>
      </c>
      <c r="P46">
        <f>$AF$77</f>
        <v>55</v>
      </c>
      <c r="Q46">
        <f t="shared" si="15"/>
        <v>0.95969823125361531</v>
      </c>
      <c r="R46">
        <f t="shared" si="10"/>
        <v>0.99966453737209748</v>
      </c>
      <c r="S46">
        <v>1</v>
      </c>
      <c r="T46">
        <f t="shared" si="11"/>
        <v>0.95937628836296562</v>
      </c>
      <c r="U46">
        <v>60</v>
      </c>
      <c r="V46">
        <f t="shared" si="12"/>
        <v>1.9616274221223758E-2</v>
      </c>
      <c r="X46">
        <f t="shared" si="13"/>
        <v>91.25</v>
      </c>
      <c r="Y46">
        <f t="shared" si="14"/>
        <v>107.39910136120008</v>
      </c>
      <c r="AD46" t="s">
        <v>81</v>
      </c>
      <c r="AE46">
        <v>0.61</v>
      </c>
      <c r="AF46">
        <v>0.61</v>
      </c>
      <c r="AG46">
        <v>0.61</v>
      </c>
      <c r="AH46">
        <v>0.61</v>
      </c>
      <c r="AI46">
        <v>0.61</v>
      </c>
      <c r="AJ46">
        <v>0.61</v>
      </c>
    </row>
    <row r="47" spans="1:36" x14ac:dyDescent="0.2">
      <c r="D47" t="s">
        <v>82</v>
      </c>
      <c r="F47">
        <v>0</v>
      </c>
      <c r="G47">
        <v>0</v>
      </c>
      <c r="H47">
        <v>0</v>
      </c>
      <c r="K47">
        <f>$AF$23</f>
        <v>2.2000000000000002</v>
      </c>
      <c r="M47">
        <f>$AF$51</f>
        <v>0.59</v>
      </c>
      <c r="N47">
        <f t="shared" si="9"/>
        <v>0.46765000000000001</v>
      </c>
      <c r="P47">
        <f>$AF$78</f>
        <v>55</v>
      </c>
      <c r="Q47">
        <f t="shared" si="15"/>
        <v>1.0269410358295947</v>
      </c>
      <c r="R47">
        <f t="shared" si="10"/>
        <v>0.99993747849622516</v>
      </c>
      <c r="S47">
        <v>1</v>
      </c>
      <c r="T47">
        <f t="shared" si="11"/>
        <v>1.0268768299317466</v>
      </c>
      <c r="U47">
        <v>55</v>
      </c>
      <c r="V47">
        <f t="shared" si="12"/>
        <v>2.0885284402716836E-2</v>
      </c>
      <c r="X47">
        <f t="shared" si="13"/>
        <v>91.25</v>
      </c>
      <c r="Y47">
        <f t="shared" si="14"/>
        <v>104.81802109613513</v>
      </c>
      <c r="AD47" t="s">
        <v>82</v>
      </c>
      <c r="AE47">
        <v>0.64</v>
      </c>
      <c r="AF47">
        <v>0.64</v>
      </c>
      <c r="AG47">
        <v>0.64</v>
      </c>
      <c r="AH47">
        <v>0.64</v>
      </c>
      <c r="AI47">
        <v>0.64</v>
      </c>
      <c r="AJ47">
        <v>0.64</v>
      </c>
    </row>
    <row r="48" spans="1:36" x14ac:dyDescent="0.2">
      <c r="D48" t="s">
        <v>83</v>
      </c>
      <c r="F48">
        <v>0</v>
      </c>
      <c r="G48">
        <v>0</v>
      </c>
      <c r="H48">
        <v>0</v>
      </c>
      <c r="K48">
        <f>$AF$24</f>
        <v>1.7</v>
      </c>
      <c r="M48">
        <f>$AF$52</f>
        <v>0.57999999999999996</v>
      </c>
      <c r="N48">
        <f t="shared" si="9"/>
        <v>0.4597</v>
      </c>
      <c r="P48">
        <f>$AF$79</f>
        <v>50</v>
      </c>
      <c r="Q48">
        <f t="shared" si="15"/>
        <v>0.91158128354326629</v>
      </c>
      <c r="R48">
        <f t="shared" si="10"/>
        <v>0.99691128459176326</v>
      </c>
      <c r="S48">
        <v>1</v>
      </c>
      <c r="T48">
        <f t="shared" si="11"/>
        <v>0.90876566838692596</v>
      </c>
      <c r="U48">
        <v>55</v>
      </c>
      <c r="V48">
        <f t="shared" si="12"/>
        <v>1.8664794565674211E-2</v>
      </c>
      <c r="X48">
        <f t="shared" si="13"/>
        <v>91.25</v>
      </c>
      <c r="Y48">
        <f t="shared" si="14"/>
        <v>93.673937726477448</v>
      </c>
      <c r="AD48" t="s">
        <v>83</v>
      </c>
      <c r="AE48">
        <v>0.72</v>
      </c>
      <c r="AF48">
        <v>0.72</v>
      </c>
      <c r="AG48">
        <v>0.72</v>
      </c>
      <c r="AH48">
        <v>0.72</v>
      </c>
      <c r="AI48">
        <v>0.72</v>
      </c>
      <c r="AJ48">
        <v>0.72</v>
      </c>
    </row>
    <row r="49" spans="1:36" x14ac:dyDescent="0.2">
      <c r="A49">
        <v>3</v>
      </c>
      <c r="C49" t="s">
        <v>74</v>
      </c>
      <c r="D49" t="s">
        <v>80</v>
      </c>
      <c r="F49">
        <v>92</v>
      </c>
      <c r="G49">
        <v>87</v>
      </c>
      <c r="H49">
        <f>(F49/100*MIN(G49,100)/100)</f>
        <v>0.80040000000000011</v>
      </c>
      <c r="I49">
        <f>$AE$3</f>
        <v>1.3</v>
      </c>
      <c r="K49">
        <f>$AG$21</f>
        <v>1.5</v>
      </c>
      <c r="M49">
        <f>$AG$49</f>
        <v>0.51</v>
      </c>
      <c r="N49">
        <f t="shared" si="9"/>
        <v>0.40405000000000002</v>
      </c>
      <c r="P49">
        <f>$AG$76</f>
        <v>35</v>
      </c>
      <c r="Q49">
        <f>(104.7 * N49 + 0.307 * P49- 15) * POWER(P49, 0.75) * 10^-3</f>
        <v>0.5475133082693564</v>
      </c>
      <c r="R49">
        <f t="shared" si="10"/>
        <v>0.98889100346175773</v>
      </c>
      <c r="S49">
        <f>(H49 * I49) + (1 - H49)</f>
        <v>1.2401200000000001</v>
      </c>
      <c r="T49">
        <f t="shared" si="11"/>
        <v>0.67143939289888555</v>
      </c>
      <c r="U49">
        <v>60</v>
      </c>
      <c r="V49">
        <f t="shared" si="12"/>
        <v>1.4203060586499049E-2</v>
      </c>
      <c r="X49">
        <f t="shared" si="13"/>
        <v>91.25</v>
      </c>
      <c r="Y49">
        <f t="shared" si="14"/>
        <v>77.761756711082285</v>
      </c>
      <c r="AD49" t="s">
        <v>80</v>
      </c>
      <c r="AE49">
        <v>0.51</v>
      </c>
      <c r="AF49">
        <v>0.51</v>
      </c>
      <c r="AG49">
        <v>0.51</v>
      </c>
      <c r="AH49">
        <v>0.51</v>
      </c>
      <c r="AI49">
        <v>0.51</v>
      </c>
      <c r="AJ49">
        <v>0.51</v>
      </c>
    </row>
    <row r="50" spans="1:36" x14ac:dyDescent="0.2">
      <c r="D50" t="s">
        <v>81</v>
      </c>
      <c r="F50">
        <v>0</v>
      </c>
      <c r="G50">
        <v>0</v>
      </c>
      <c r="H50">
        <f>(F50/100*MIN(G50,100)/100)</f>
        <v>0</v>
      </c>
      <c r="K50">
        <f>$AG$22</f>
        <v>2</v>
      </c>
      <c r="M50">
        <f>$AG$50</f>
        <v>0.55000000000000004</v>
      </c>
      <c r="N50">
        <f t="shared" si="9"/>
        <v>0.43585000000000007</v>
      </c>
      <c r="P50">
        <f>$AG$77</f>
        <v>40</v>
      </c>
      <c r="Q50">
        <f t="shared" ref="Q50:Q64" si="16">(104.7 * N50 + 0.307 * P50- 15) * POWER(P50, 0.75) * 10^-3</f>
        <v>0.68255692885182395</v>
      </c>
      <c r="R50">
        <f t="shared" si="10"/>
        <v>0.99966453737209748</v>
      </c>
      <c r="S50">
        <f t="shared" ref="S50:S56" si="17">(H50 * I50) + (1 - H50)</f>
        <v>1</v>
      </c>
      <c r="T50">
        <f t="shared" si="11"/>
        <v>0.68232795651077827</v>
      </c>
      <c r="U50">
        <v>70</v>
      </c>
      <c r="V50">
        <f t="shared" si="12"/>
        <v>1.4407765582402633E-2</v>
      </c>
      <c r="X50">
        <f t="shared" si="13"/>
        <v>91.25</v>
      </c>
      <c r="Y50">
        <f t="shared" si="14"/>
        <v>92.029602657596826</v>
      </c>
      <c r="AD50" t="s">
        <v>81</v>
      </c>
      <c r="AE50">
        <v>0.55000000000000004</v>
      </c>
      <c r="AF50">
        <v>0.55000000000000004</v>
      </c>
      <c r="AG50">
        <v>0.55000000000000004</v>
      </c>
      <c r="AH50">
        <v>0.55000000000000004</v>
      </c>
      <c r="AI50">
        <v>0.55000000000000004</v>
      </c>
      <c r="AJ50">
        <v>0.55000000000000004</v>
      </c>
    </row>
    <row r="51" spans="1:36" x14ac:dyDescent="0.2">
      <c r="D51" t="s">
        <v>82</v>
      </c>
      <c r="F51">
        <v>0</v>
      </c>
      <c r="G51">
        <v>0</v>
      </c>
      <c r="H51">
        <f t="shared" ref="H51:H53" si="18">(F51/100*MIN(G51,100)/100)</f>
        <v>0</v>
      </c>
      <c r="K51">
        <f>$AG$23</f>
        <v>2.2000000000000002</v>
      </c>
      <c r="M51">
        <f>$AG$51</f>
        <v>0.59</v>
      </c>
      <c r="N51">
        <f t="shared" si="9"/>
        <v>0.46765000000000001</v>
      </c>
      <c r="P51">
        <f>$AG$78</f>
        <v>40</v>
      </c>
      <c r="Q51">
        <f t="shared" si="16"/>
        <v>0.73551337046383869</v>
      </c>
      <c r="R51">
        <f t="shared" si="10"/>
        <v>0.99993747849622516</v>
      </c>
      <c r="S51">
        <f t="shared" si="17"/>
        <v>1</v>
      </c>
      <c r="T51">
        <f t="shared" si="11"/>
        <v>0.73546738506187082</v>
      </c>
      <c r="U51">
        <v>60</v>
      </c>
      <c r="V51">
        <f t="shared" si="12"/>
        <v>1.5406786839163172E-2</v>
      </c>
      <c r="X51">
        <f t="shared" si="13"/>
        <v>91.25</v>
      </c>
      <c r="Y51">
        <f t="shared" si="14"/>
        <v>84.352157944418366</v>
      </c>
      <c r="AD51" t="s">
        <v>82</v>
      </c>
      <c r="AE51">
        <v>0.59</v>
      </c>
      <c r="AF51">
        <v>0.59</v>
      </c>
      <c r="AG51">
        <v>0.59</v>
      </c>
      <c r="AH51">
        <v>0.59</v>
      </c>
      <c r="AI51">
        <v>0.59</v>
      </c>
      <c r="AJ51">
        <v>0.59</v>
      </c>
    </row>
    <row r="52" spans="1:36" x14ac:dyDescent="0.2">
      <c r="D52" t="s">
        <v>83</v>
      </c>
      <c r="F52">
        <v>0</v>
      </c>
      <c r="G52">
        <v>0</v>
      </c>
      <c r="H52">
        <f t="shared" si="18"/>
        <v>0</v>
      </c>
      <c r="K52">
        <f>$AG$24</f>
        <v>1.7</v>
      </c>
      <c r="M52">
        <f>$AG$52</f>
        <v>0.57999999999999996</v>
      </c>
      <c r="N52">
        <f t="shared" si="9"/>
        <v>0.4597</v>
      </c>
      <c r="P52">
        <f>$AG$79</f>
        <v>35</v>
      </c>
      <c r="Q52">
        <f t="shared" si="16"/>
        <v>0.63135555036204949</v>
      </c>
      <c r="R52">
        <f t="shared" si="10"/>
        <v>0.99691128459176326</v>
      </c>
      <c r="S52">
        <f t="shared" si="17"/>
        <v>1</v>
      </c>
      <c r="T52">
        <f t="shared" si="11"/>
        <v>0.62940547274557046</v>
      </c>
      <c r="U52">
        <v>50</v>
      </c>
      <c r="V52">
        <f t="shared" si="12"/>
        <v>1.3412822887616725E-2</v>
      </c>
      <c r="X52">
        <f t="shared" si="13"/>
        <v>91.25</v>
      </c>
      <c r="Y52">
        <f t="shared" si="14"/>
        <v>61.196004424751308</v>
      </c>
      <c r="AD52" t="s">
        <v>83</v>
      </c>
      <c r="AE52">
        <v>0.57999999999999996</v>
      </c>
      <c r="AF52">
        <v>0.57999999999999996</v>
      </c>
      <c r="AG52">
        <v>0.57999999999999996</v>
      </c>
      <c r="AH52">
        <v>0.57999999999999996</v>
      </c>
      <c r="AI52">
        <v>0.57999999999999996</v>
      </c>
      <c r="AJ52">
        <v>0.57999999999999996</v>
      </c>
    </row>
    <row r="53" spans="1:36" x14ac:dyDescent="0.2">
      <c r="A53">
        <v>4</v>
      </c>
      <c r="C53" t="s">
        <v>75</v>
      </c>
      <c r="D53" t="s">
        <v>80</v>
      </c>
      <c r="F53">
        <v>95</v>
      </c>
      <c r="G53">
        <v>88</v>
      </c>
      <c r="H53">
        <f t="shared" si="18"/>
        <v>0.83599999999999997</v>
      </c>
      <c r="I53">
        <f>$AE$3</f>
        <v>1.3</v>
      </c>
      <c r="K53">
        <f>$AH$21</f>
        <v>1.5</v>
      </c>
      <c r="M53">
        <f>$AH$49</f>
        <v>0.51</v>
      </c>
      <c r="N53">
        <f t="shared" si="9"/>
        <v>0.40405000000000002</v>
      </c>
      <c r="P53">
        <f>$AH$76</f>
        <v>40</v>
      </c>
      <c r="Q53">
        <f t="shared" si="16"/>
        <v>0.62960048723980899</v>
      </c>
      <c r="R53">
        <f t="shared" si="10"/>
        <v>0.98889100346175773</v>
      </c>
      <c r="S53">
        <f t="shared" si="17"/>
        <v>1.2507999999999999</v>
      </c>
      <c r="T53">
        <f t="shared" si="11"/>
        <v>0.77875590701431807</v>
      </c>
      <c r="U53">
        <v>40</v>
      </c>
      <c r="V53">
        <f t="shared" si="12"/>
        <v>1.6220611051869182E-2</v>
      </c>
      <c r="X53">
        <f t="shared" si="13"/>
        <v>91.25</v>
      </c>
      <c r="Y53">
        <f t="shared" si="14"/>
        <v>59.205230339322519</v>
      </c>
      <c r="AD53" t="s">
        <v>80</v>
      </c>
      <c r="AE53">
        <v>0.7</v>
      </c>
      <c r="AF53">
        <v>0.7</v>
      </c>
      <c r="AG53">
        <v>0.7</v>
      </c>
      <c r="AH53">
        <v>0.7</v>
      </c>
      <c r="AI53">
        <v>0.7</v>
      </c>
      <c r="AJ53">
        <v>0.7</v>
      </c>
    </row>
    <row r="54" spans="1:36" x14ac:dyDescent="0.2">
      <c r="D54" t="s">
        <v>81</v>
      </c>
      <c r="F54">
        <v>0</v>
      </c>
      <c r="G54">
        <v>0</v>
      </c>
      <c r="H54">
        <v>0</v>
      </c>
      <c r="K54">
        <f>$AH$22</f>
        <v>2</v>
      </c>
      <c r="M54">
        <f>$AH$50</f>
        <v>0.55000000000000004</v>
      </c>
      <c r="N54">
        <f t="shared" si="9"/>
        <v>0.43585000000000007</v>
      </c>
      <c r="P54">
        <f>$AH$77</f>
        <v>45</v>
      </c>
      <c r="Q54">
        <f t="shared" si="16"/>
        <v>0.77226516609487061</v>
      </c>
      <c r="R54">
        <f t="shared" si="10"/>
        <v>0.99966453737209748</v>
      </c>
      <c r="S54">
        <f t="shared" si="17"/>
        <v>1</v>
      </c>
      <c r="T54">
        <f t="shared" si="11"/>
        <v>0.77200609999281489</v>
      </c>
      <c r="U54">
        <v>45</v>
      </c>
      <c r="V54">
        <f t="shared" si="12"/>
        <v>1.609371467986492E-2</v>
      </c>
      <c r="X54">
        <f t="shared" si="13"/>
        <v>91.25</v>
      </c>
      <c r="Y54">
        <f t="shared" si="14"/>
        <v>66.084815904195324</v>
      </c>
      <c r="AD54" t="s">
        <v>81</v>
      </c>
      <c r="AE54">
        <v>0.55000000000000004</v>
      </c>
      <c r="AF54">
        <v>0.55000000000000004</v>
      </c>
      <c r="AG54">
        <v>0.55000000000000004</v>
      </c>
      <c r="AH54">
        <v>0.55000000000000004</v>
      </c>
      <c r="AI54">
        <v>0.55000000000000004</v>
      </c>
      <c r="AJ54">
        <v>0.55000000000000004</v>
      </c>
    </row>
    <row r="55" spans="1:36" x14ac:dyDescent="0.2">
      <c r="D55" t="s">
        <v>82</v>
      </c>
      <c r="F55">
        <v>0</v>
      </c>
      <c r="G55">
        <v>0</v>
      </c>
      <c r="H55">
        <v>0</v>
      </c>
      <c r="K55">
        <f>$AH$23</f>
        <v>2.2000000000000002</v>
      </c>
      <c r="M55">
        <f>$AH$51</f>
        <v>0.59</v>
      </c>
      <c r="N55">
        <f t="shared" si="9"/>
        <v>0.46765000000000001</v>
      </c>
      <c r="P55">
        <f>$AH$78</f>
        <v>45</v>
      </c>
      <c r="Q55">
        <f t="shared" si="16"/>
        <v>0.8301124785833186</v>
      </c>
      <c r="R55">
        <f t="shared" si="10"/>
        <v>0.99993747849622516</v>
      </c>
      <c r="S55">
        <f t="shared" si="17"/>
        <v>1</v>
      </c>
      <c r="T55">
        <f t="shared" si="11"/>
        <v>0.83006057870285532</v>
      </c>
      <c r="U55">
        <v>40</v>
      </c>
      <c r="V55">
        <f t="shared" si="12"/>
        <v>1.7185138879613683E-2</v>
      </c>
      <c r="X55">
        <f t="shared" si="13"/>
        <v>91.25</v>
      </c>
      <c r="Y55">
        <f t="shared" si="14"/>
        <v>62.725756910589936</v>
      </c>
      <c r="AD55" t="s">
        <v>82</v>
      </c>
      <c r="AE55">
        <v>0.55000000000000004</v>
      </c>
      <c r="AF55">
        <v>0.55000000000000004</v>
      </c>
      <c r="AG55">
        <v>0.55000000000000004</v>
      </c>
      <c r="AH55">
        <v>0.55000000000000004</v>
      </c>
      <c r="AI55">
        <v>0.55000000000000004</v>
      </c>
      <c r="AJ55">
        <v>0.55000000000000004</v>
      </c>
    </row>
    <row r="56" spans="1:36" x14ac:dyDescent="0.2">
      <c r="D56" t="s">
        <v>83</v>
      </c>
      <c r="F56">
        <v>0</v>
      </c>
      <c r="G56">
        <v>0</v>
      </c>
      <c r="H56">
        <v>0</v>
      </c>
      <c r="K56">
        <f>$AH$24</f>
        <v>1.7</v>
      </c>
      <c r="M56">
        <f>$AH$52</f>
        <v>0.57999999999999996</v>
      </c>
      <c r="N56">
        <f t="shared" si="9"/>
        <v>0.4597</v>
      </c>
      <c r="P56">
        <f>$AH$79</f>
        <v>42</v>
      </c>
      <c r="Q56">
        <f t="shared" si="16"/>
        <v>0.7593235966549482</v>
      </c>
      <c r="R56">
        <f t="shared" si="10"/>
        <v>0.99691128459176326</v>
      </c>
      <c r="S56">
        <f t="shared" si="17"/>
        <v>1</v>
      </c>
      <c r="T56">
        <f t="shared" si="11"/>
        <v>0.75697826216212227</v>
      </c>
      <c r="U56">
        <v>35</v>
      </c>
      <c r="V56">
        <f t="shared" si="12"/>
        <v>1.5811191328647899E-2</v>
      </c>
      <c r="X56">
        <f t="shared" si="13"/>
        <v>91.25</v>
      </c>
      <c r="Y56">
        <f t="shared" si="14"/>
        <v>50.496992305869227</v>
      </c>
      <c r="AD56" t="s">
        <v>83</v>
      </c>
      <c r="AE56">
        <v>0.75</v>
      </c>
      <c r="AF56">
        <v>0.75</v>
      </c>
      <c r="AG56">
        <v>0.75</v>
      </c>
      <c r="AH56">
        <v>0.75</v>
      </c>
      <c r="AI56">
        <v>0.75</v>
      </c>
      <c r="AJ56">
        <v>0.75</v>
      </c>
    </row>
    <row r="57" spans="1:36" x14ac:dyDescent="0.2">
      <c r="A57">
        <v>5</v>
      </c>
      <c r="C57" t="s">
        <v>76</v>
      </c>
      <c r="D57" t="s">
        <v>80</v>
      </c>
      <c r="F57">
        <v>0</v>
      </c>
      <c r="G57">
        <v>0</v>
      </c>
      <c r="H57">
        <v>0</v>
      </c>
      <c r="K57">
        <f>$AI$21</f>
        <v>1.5</v>
      </c>
      <c r="M57">
        <f>$AI$49</f>
        <v>0.51</v>
      </c>
      <c r="N57">
        <f t="shared" si="9"/>
        <v>0.40405000000000002</v>
      </c>
      <c r="P57">
        <f>$AI$76</f>
        <v>45</v>
      </c>
      <c r="Q57">
        <f t="shared" si="16"/>
        <v>0.71441785360642229</v>
      </c>
      <c r="R57">
        <f t="shared" si="10"/>
        <v>0.98889100346175773</v>
      </c>
      <c r="S57">
        <v>1</v>
      </c>
      <c r="T57">
        <f t="shared" si="11"/>
        <v>0.70648138814385009</v>
      </c>
      <c r="U57">
        <v>25</v>
      </c>
      <c r="V57">
        <f t="shared" si="12"/>
        <v>1.4861850097104381E-2</v>
      </c>
      <c r="X57">
        <f t="shared" si="13"/>
        <v>91.25</v>
      </c>
      <c r="Y57">
        <f t="shared" si="14"/>
        <v>33.903595534019367</v>
      </c>
      <c r="AD57" t="s">
        <v>80</v>
      </c>
      <c r="AE57">
        <v>0.75</v>
      </c>
      <c r="AF57">
        <v>0.75</v>
      </c>
      <c r="AG57">
        <v>0.75</v>
      </c>
      <c r="AH57">
        <v>0.75</v>
      </c>
      <c r="AI57">
        <v>0.75</v>
      </c>
      <c r="AJ57">
        <v>0.75</v>
      </c>
    </row>
    <row r="58" spans="1:36" x14ac:dyDescent="0.2">
      <c r="D58" t="s">
        <v>81</v>
      </c>
      <c r="F58">
        <v>0</v>
      </c>
      <c r="G58">
        <v>0</v>
      </c>
      <c r="H58">
        <v>0</v>
      </c>
      <c r="K58">
        <f>$AI$22</f>
        <v>2</v>
      </c>
      <c r="M58">
        <f>$AI$50</f>
        <v>0.55000000000000004</v>
      </c>
      <c r="N58">
        <f t="shared" si="9"/>
        <v>0.43585000000000007</v>
      </c>
      <c r="P58">
        <f>$AI$77</f>
        <v>50</v>
      </c>
      <c r="Q58">
        <f t="shared" si="16"/>
        <v>0.8646283676396137</v>
      </c>
      <c r="R58">
        <f t="shared" si="10"/>
        <v>0.99966453737209748</v>
      </c>
      <c r="S58">
        <v>1</v>
      </c>
      <c r="T58">
        <f t="shared" si="11"/>
        <v>0.86433831713524623</v>
      </c>
      <c r="U58">
        <v>30</v>
      </c>
      <c r="V58">
        <f t="shared" si="12"/>
        <v>1.782956036214263E-2</v>
      </c>
      <c r="X58">
        <f t="shared" si="13"/>
        <v>91.25</v>
      </c>
      <c r="Y58">
        <f t="shared" si="14"/>
        <v>48.808421491365451</v>
      </c>
      <c r="AD58" t="s">
        <v>81</v>
      </c>
      <c r="AE58">
        <v>0.55000000000000004</v>
      </c>
      <c r="AF58">
        <v>0.55000000000000004</v>
      </c>
      <c r="AG58">
        <v>0.55000000000000004</v>
      </c>
      <c r="AH58">
        <v>0.55000000000000004</v>
      </c>
      <c r="AI58">
        <v>0.55000000000000004</v>
      </c>
      <c r="AJ58">
        <v>0.55000000000000004</v>
      </c>
    </row>
    <row r="59" spans="1:36" x14ac:dyDescent="0.2">
      <c r="D59" t="s">
        <v>82</v>
      </c>
      <c r="F59">
        <v>0</v>
      </c>
      <c r="G59">
        <v>0</v>
      </c>
      <c r="H59">
        <v>0</v>
      </c>
      <c r="K59">
        <f>$AI$23</f>
        <v>2.2000000000000002</v>
      </c>
      <c r="M59">
        <f>$AI$51</f>
        <v>0.59</v>
      </c>
      <c r="N59">
        <f t="shared" si="9"/>
        <v>0.46765000000000001</v>
      </c>
      <c r="P59">
        <f>$AI$78</f>
        <v>50</v>
      </c>
      <c r="Q59">
        <f t="shared" si="16"/>
        <v>0.92723225551115063</v>
      </c>
      <c r="R59">
        <f t="shared" si="10"/>
        <v>0.99993747849622516</v>
      </c>
      <c r="S59">
        <v>1</v>
      </c>
      <c r="T59">
        <f t="shared" si="11"/>
        <v>0.92717428355618758</v>
      </c>
      <c r="U59">
        <v>25</v>
      </c>
      <c r="V59">
        <f t="shared" si="12"/>
        <v>1.9010876530856327E-2</v>
      </c>
      <c r="X59">
        <f t="shared" si="13"/>
        <v>91.25</v>
      </c>
      <c r="Y59">
        <f t="shared" si="14"/>
        <v>43.368562086015991</v>
      </c>
      <c r="AD59" t="s">
        <v>82</v>
      </c>
      <c r="AE59">
        <v>0.67</v>
      </c>
      <c r="AF59">
        <v>0.67</v>
      </c>
      <c r="AG59">
        <v>0.67</v>
      </c>
      <c r="AH59">
        <v>0.67</v>
      </c>
      <c r="AI59">
        <v>0.67</v>
      </c>
      <c r="AJ59">
        <v>0.67</v>
      </c>
    </row>
    <row r="60" spans="1:36" x14ac:dyDescent="0.2">
      <c r="D60" t="s">
        <v>83</v>
      </c>
      <c r="F60">
        <v>0</v>
      </c>
      <c r="G60">
        <v>0</v>
      </c>
      <c r="H60">
        <v>0</v>
      </c>
      <c r="K60">
        <f>$AI$24</f>
        <v>1.7</v>
      </c>
      <c r="M60">
        <f>$AI$52</f>
        <v>0.57999999999999996</v>
      </c>
      <c r="N60">
        <f t="shared" si="9"/>
        <v>0.4597</v>
      </c>
      <c r="P60">
        <f>$AI$79</f>
        <v>48</v>
      </c>
      <c r="Q60">
        <f t="shared" si="16"/>
        <v>0.87289783757888828</v>
      </c>
      <c r="R60">
        <f t="shared" si="10"/>
        <v>0.99691128459176326</v>
      </c>
      <c r="S60">
        <v>1</v>
      </c>
      <c r="T60">
        <f t="shared" si="11"/>
        <v>0.87020170457814183</v>
      </c>
      <c r="U60">
        <v>20</v>
      </c>
      <c r="V60">
        <f t="shared" si="12"/>
        <v>1.7939792046069068E-2</v>
      </c>
      <c r="X60">
        <f t="shared" si="13"/>
        <v>91.25</v>
      </c>
      <c r="Y60">
        <f t="shared" si="14"/>
        <v>32.740120484076051</v>
      </c>
      <c r="AD60" t="s">
        <v>83</v>
      </c>
      <c r="AE60">
        <v>0.7</v>
      </c>
      <c r="AF60">
        <v>0.7</v>
      </c>
      <c r="AG60">
        <v>0.7</v>
      </c>
      <c r="AH60">
        <v>0.7</v>
      </c>
      <c r="AI60">
        <v>0.7</v>
      </c>
      <c r="AJ60">
        <v>0.7</v>
      </c>
    </row>
    <row r="61" spans="1:36" x14ac:dyDescent="0.2">
      <c r="A61">
        <v>6</v>
      </c>
      <c r="C61" t="s">
        <v>77</v>
      </c>
      <c r="D61" t="s">
        <v>80</v>
      </c>
      <c r="F61">
        <v>0</v>
      </c>
      <c r="G61">
        <v>0</v>
      </c>
      <c r="H61">
        <v>0</v>
      </c>
      <c r="K61">
        <f>$AJ$21</f>
        <v>1.5</v>
      </c>
      <c r="M61">
        <f>$AJ$49</f>
        <v>0.51</v>
      </c>
      <c r="N61">
        <f t="shared" si="9"/>
        <v>0.40405000000000002</v>
      </c>
      <c r="P61">
        <f>$AJ$76</f>
        <v>20</v>
      </c>
      <c r="Q61">
        <f t="shared" si="16"/>
        <v>0.31629415472458533</v>
      </c>
      <c r="R61">
        <f t="shared" si="10"/>
        <v>0.98889100346175773</v>
      </c>
      <c r="S61">
        <v>1</v>
      </c>
      <c r="T61">
        <f t="shared" si="11"/>
        <v>0.31278044405468364</v>
      </c>
      <c r="U61">
        <v>15</v>
      </c>
      <c r="V61">
        <f t="shared" si="12"/>
        <v>7.4602723482280527E-3</v>
      </c>
      <c r="X61">
        <f t="shared" si="13"/>
        <v>91.25</v>
      </c>
      <c r="Y61">
        <f t="shared" si="14"/>
        <v>10.211247776637148</v>
      </c>
      <c r="AD61" t="s">
        <v>80</v>
      </c>
      <c r="AE61">
        <v>0.7</v>
      </c>
      <c r="AF61">
        <v>0.7</v>
      </c>
      <c r="AG61">
        <v>0.7</v>
      </c>
      <c r="AH61">
        <v>0.7</v>
      </c>
      <c r="AI61">
        <v>0.7</v>
      </c>
      <c r="AJ61">
        <v>0.7</v>
      </c>
    </row>
    <row r="62" spans="1:36" x14ac:dyDescent="0.2">
      <c r="D62" t="s">
        <v>81</v>
      </c>
      <c r="F62">
        <v>0</v>
      </c>
      <c r="G62">
        <v>0</v>
      </c>
      <c r="H62">
        <v>0</v>
      </c>
      <c r="K62">
        <f>$AJ$22</f>
        <v>2</v>
      </c>
      <c r="M62">
        <f>$AJ$50</f>
        <v>0.55000000000000004</v>
      </c>
      <c r="N62">
        <f t="shared" si="9"/>
        <v>0.43585000000000007</v>
      </c>
      <c r="P62">
        <f>$AJ$77</f>
        <v>25</v>
      </c>
      <c r="Q62">
        <f t="shared" si="16"/>
        <v>0.42830199467855401</v>
      </c>
      <c r="R62">
        <f t="shared" si="10"/>
        <v>0.99966453737209748</v>
      </c>
      <c r="S62">
        <v>1</v>
      </c>
      <c r="T62">
        <f t="shared" si="11"/>
        <v>0.42815831536588328</v>
      </c>
      <c r="U62">
        <v>45</v>
      </c>
      <c r="V62">
        <f t="shared" si="12"/>
        <v>9.6293763288786052E-3</v>
      </c>
      <c r="X62">
        <f t="shared" si="13"/>
        <v>91.25</v>
      </c>
      <c r="Y62">
        <f t="shared" si="14"/>
        <v>39.540626550457773</v>
      </c>
      <c r="AD62" t="s">
        <v>81</v>
      </c>
      <c r="AE62">
        <v>0.55000000000000004</v>
      </c>
      <c r="AF62">
        <v>0.55000000000000004</v>
      </c>
      <c r="AG62">
        <v>0.55000000000000004</v>
      </c>
      <c r="AH62">
        <v>0.55000000000000004</v>
      </c>
      <c r="AI62">
        <v>0.55000000000000004</v>
      </c>
      <c r="AJ62">
        <v>0.55000000000000004</v>
      </c>
    </row>
    <row r="63" spans="1:36" x14ac:dyDescent="0.2">
      <c r="D63" t="s">
        <v>82</v>
      </c>
      <c r="F63">
        <v>0</v>
      </c>
      <c r="G63">
        <v>0</v>
      </c>
      <c r="H63">
        <v>0</v>
      </c>
      <c r="K63">
        <f>$AJ$23</f>
        <v>2.2000000000000002</v>
      </c>
      <c r="M63">
        <f>$AJ$51</f>
        <v>0.59</v>
      </c>
      <c r="N63">
        <f t="shared" si="9"/>
        <v>0.46765000000000001</v>
      </c>
      <c r="P63">
        <f>$AJ$78</f>
        <v>20</v>
      </c>
      <c r="Q63">
        <f t="shared" si="16"/>
        <v>0.37927033187481962</v>
      </c>
      <c r="R63">
        <f t="shared" si="10"/>
        <v>0.99993747849622516</v>
      </c>
      <c r="S63">
        <v>1</v>
      </c>
      <c r="T63">
        <f t="shared" si="11"/>
        <v>0.37924661932333364</v>
      </c>
      <c r="U63">
        <v>40</v>
      </c>
      <c r="V63">
        <f t="shared" si="12"/>
        <v>8.7098364432786728E-3</v>
      </c>
      <c r="X63">
        <f t="shared" si="13"/>
        <v>91.25</v>
      </c>
      <c r="Y63">
        <f t="shared" si="14"/>
        <v>31.790903017967157</v>
      </c>
      <c r="AD63" t="s">
        <v>82</v>
      </c>
      <c r="AE63">
        <v>0.65</v>
      </c>
      <c r="AF63">
        <v>0.65</v>
      </c>
      <c r="AG63">
        <v>0.65</v>
      </c>
      <c r="AH63">
        <v>0.65</v>
      </c>
      <c r="AI63">
        <v>0.65</v>
      </c>
      <c r="AJ63">
        <v>0.65</v>
      </c>
    </row>
    <row r="64" spans="1:36" x14ac:dyDescent="0.2">
      <c r="D64" t="s">
        <v>83</v>
      </c>
      <c r="F64">
        <v>0</v>
      </c>
      <c r="G64">
        <v>0</v>
      </c>
      <c r="H64">
        <v>0</v>
      </c>
      <c r="K64">
        <f>$AJ$24</f>
        <v>1.7</v>
      </c>
      <c r="M64">
        <f>$AJ$52</f>
        <v>0.57999999999999996</v>
      </c>
      <c r="N64">
        <f t="shared" si="9"/>
        <v>0.4597</v>
      </c>
      <c r="P64">
        <f>$AJ$79</f>
        <v>25</v>
      </c>
      <c r="Q64">
        <f t="shared" si="16"/>
        <v>0.45622036550992806</v>
      </c>
      <c r="R64">
        <f t="shared" si="10"/>
        <v>0.99691128459176326</v>
      </c>
      <c r="S64">
        <v>1</v>
      </c>
      <c r="T64">
        <f t="shared" si="11"/>
        <v>0.45481123063742612</v>
      </c>
      <c r="U64">
        <v>30</v>
      </c>
      <c r="V64">
        <f t="shared" si="12"/>
        <v>1.0130451135983612E-2</v>
      </c>
      <c r="X64">
        <f t="shared" si="13"/>
        <v>91.25</v>
      </c>
      <c r="Y64">
        <f t="shared" si="14"/>
        <v>27.732109984755141</v>
      </c>
      <c r="AD64" t="s">
        <v>83</v>
      </c>
      <c r="AE64">
        <v>0.6</v>
      </c>
      <c r="AF64">
        <v>0.6</v>
      </c>
      <c r="AG64">
        <v>0.6</v>
      </c>
      <c r="AH64">
        <v>0.6</v>
      </c>
      <c r="AI64">
        <v>0.6</v>
      </c>
      <c r="AJ64">
        <v>0.6</v>
      </c>
    </row>
    <row r="65" spans="1:36" x14ac:dyDescent="0.2">
      <c r="AD65" t="s">
        <v>80</v>
      </c>
      <c r="AE65">
        <v>0.73</v>
      </c>
      <c r="AF65">
        <v>0.73</v>
      </c>
      <c r="AG65">
        <v>0.73</v>
      </c>
      <c r="AH65">
        <v>0.73</v>
      </c>
      <c r="AI65">
        <v>0.73</v>
      </c>
      <c r="AJ65">
        <v>0.73</v>
      </c>
    </row>
    <row r="66" spans="1:36" x14ac:dyDescent="0.2">
      <c r="AD66" t="s">
        <v>81</v>
      </c>
      <c r="AE66">
        <v>0.55000000000000004</v>
      </c>
      <c r="AF66">
        <v>0.55000000000000004</v>
      </c>
      <c r="AG66">
        <v>0.55000000000000004</v>
      </c>
      <c r="AH66">
        <v>0.55000000000000004</v>
      </c>
      <c r="AI66">
        <v>0.55000000000000004</v>
      </c>
      <c r="AJ66">
        <v>0.55000000000000004</v>
      </c>
    </row>
    <row r="67" spans="1:36" x14ac:dyDescent="0.2">
      <c r="AD67" t="s">
        <v>82</v>
      </c>
      <c r="AE67">
        <v>0.5</v>
      </c>
      <c r="AF67">
        <v>0.5</v>
      </c>
      <c r="AG67">
        <v>0.7</v>
      </c>
      <c r="AH67">
        <v>0.7</v>
      </c>
      <c r="AI67">
        <v>0.5</v>
      </c>
      <c r="AJ67">
        <v>0.7</v>
      </c>
    </row>
    <row r="68" spans="1:36" x14ac:dyDescent="0.2">
      <c r="AD68" t="s">
        <v>83</v>
      </c>
      <c r="AE68">
        <v>0.76</v>
      </c>
      <c r="AF68">
        <v>0.76</v>
      </c>
      <c r="AG68">
        <v>0.76</v>
      </c>
      <c r="AH68">
        <v>0.76</v>
      </c>
      <c r="AI68">
        <v>0.76</v>
      </c>
      <c r="AJ68">
        <v>0.76</v>
      </c>
    </row>
    <row r="71" spans="1:36" x14ac:dyDescent="0.2">
      <c r="A71" t="s">
        <v>101</v>
      </c>
      <c r="B71" t="s">
        <v>100</v>
      </c>
      <c r="C71" t="s">
        <v>72</v>
      </c>
      <c r="D71" t="s">
        <v>80</v>
      </c>
      <c r="F71">
        <v>0</v>
      </c>
      <c r="G71">
        <v>0</v>
      </c>
      <c r="H71">
        <v>0</v>
      </c>
      <c r="K71">
        <f>$AE$25</f>
        <v>4</v>
      </c>
      <c r="M71">
        <f>$AE$53</f>
        <v>0.7</v>
      </c>
      <c r="N71">
        <f>(0.795 * M71) - 0.0014</f>
        <v>0.55510000000000004</v>
      </c>
      <c r="P71">
        <f>$AE$80</f>
        <v>80</v>
      </c>
      <c r="Q71">
        <f>(104.7 * N71 + 0.307 * P71- 15) * POWER(P71, 0.75) * 10^-3</f>
        <v>1.8103862015316043</v>
      </c>
      <c r="R71">
        <f>1-EXP(-2*POWER(K71,2))</f>
        <v>0.99999999999998734</v>
      </c>
      <c r="S71">
        <v>1</v>
      </c>
      <c r="T71">
        <f>Q71 * R71 * S71</f>
        <v>1.8103862015315815</v>
      </c>
      <c r="U71">
        <v>25</v>
      </c>
      <c r="V71">
        <f>(T71 * 0.0188) + 0.00158</f>
        <v>3.5615260588793732E-2</v>
      </c>
      <c r="X71">
        <f>$AE$4</f>
        <v>91.25</v>
      </c>
      <c r="Y71">
        <f>U71*V71*X71</f>
        <v>81.247313218185695</v>
      </c>
      <c r="Z71">
        <f>SUM(Y71:Y94)*10^-3</f>
        <v>1.7302305868306518</v>
      </c>
      <c r="AD71" t="s">
        <v>94</v>
      </c>
      <c r="AE71" t="s">
        <v>61</v>
      </c>
    </row>
    <row r="72" spans="1:36" x14ac:dyDescent="0.2">
      <c r="D72" t="s">
        <v>81</v>
      </c>
      <c r="F72">
        <v>0</v>
      </c>
      <c r="G72">
        <v>0</v>
      </c>
      <c r="H72">
        <v>0</v>
      </c>
      <c r="K72">
        <f>$AE$26</f>
        <v>2.5</v>
      </c>
      <c r="M72">
        <f>$AE$54</f>
        <v>0.55000000000000004</v>
      </c>
      <c r="N72">
        <f t="shared" ref="N72:N94" si="19">(0.795 * M72) - 0.0014</f>
        <v>0.43585000000000007</v>
      </c>
      <c r="P72">
        <f>$AE$81</f>
        <v>70</v>
      </c>
      <c r="Q72">
        <f>(104.7 * N72 + 0.307 * P72- 15) * POWER(P72, 0.75) * 10^-3</f>
        <v>1.2614122912776211</v>
      </c>
      <c r="R72">
        <f t="shared" ref="R72:R94" si="20">1-EXP(-2*POWER(K72,2))</f>
        <v>0.99999627334682795</v>
      </c>
      <c r="S72">
        <v>1</v>
      </c>
      <c r="T72">
        <f t="shared" ref="T72:T94" si="21">Q72 * R72 * S72</f>
        <v>1.2614075904315045</v>
      </c>
      <c r="U72">
        <v>20</v>
      </c>
      <c r="V72">
        <f t="shared" ref="V72:V94" si="22">(T72 * 0.0188) + 0.00158</f>
        <v>2.5294462700112288E-2</v>
      </c>
      <c r="X72">
        <f t="shared" ref="X72:X94" si="23">$AE$4</f>
        <v>91.25</v>
      </c>
      <c r="Y72">
        <f t="shared" ref="Y72:Y94" si="24">U72*V72*X72</f>
        <v>46.162394427704925</v>
      </c>
      <c r="AD72" t="s">
        <v>80</v>
      </c>
      <c r="AE72">
        <v>75</v>
      </c>
      <c r="AF72">
        <v>62</v>
      </c>
      <c r="AG72">
        <v>44</v>
      </c>
      <c r="AH72">
        <v>54</v>
      </c>
      <c r="AI72">
        <v>56</v>
      </c>
      <c r="AJ72">
        <v>20</v>
      </c>
    </row>
    <row r="73" spans="1:36" x14ac:dyDescent="0.2">
      <c r="D73" t="s">
        <v>82</v>
      </c>
      <c r="F73">
        <v>0</v>
      </c>
      <c r="G73">
        <v>0</v>
      </c>
      <c r="H73">
        <v>0</v>
      </c>
      <c r="K73">
        <f>$AE$27</f>
        <v>0.7</v>
      </c>
      <c r="M73">
        <f>$AE$55</f>
        <v>0.55000000000000004</v>
      </c>
      <c r="N73">
        <f t="shared" si="19"/>
        <v>0.43585000000000007</v>
      </c>
      <c r="P73">
        <f>$AE$82</f>
        <v>70</v>
      </c>
      <c r="Q73">
        <f t="shared" ref="Q73:Q78" si="25">(104.7 * N73 + 0.307 * P73- 15) * POWER(P73, 0.75) * 10^-3</f>
        <v>1.2614122912776211</v>
      </c>
      <c r="R73">
        <f t="shared" si="20"/>
        <v>0.62468890114860043</v>
      </c>
      <c r="S73">
        <v>1</v>
      </c>
      <c r="T73">
        <f t="shared" si="21"/>
        <v>0.78799025813355539</v>
      </c>
      <c r="U73">
        <v>19</v>
      </c>
      <c r="V73">
        <f t="shared" si="22"/>
        <v>1.6394216852910842E-2</v>
      </c>
      <c r="X73">
        <f t="shared" si="23"/>
        <v>91.25</v>
      </c>
      <c r="Y73">
        <f t="shared" si="24"/>
        <v>28.423473468734169</v>
      </c>
      <c r="AD73" t="s">
        <v>81</v>
      </c>
      <c r="AE73">
        <v>75</v>
      </c>
      <c r="AF73">
        <v>55</v>
      </c>
      <c r="AG73">
        <v>42</v>
      </c>
      <c r="AH73">
        <v>49</v>
      </c>
      <c r="AI73">
        <v>51</v>
      </c>
      <c r="AJ73">
        <v>27</v>
      </c>
    </row>
    <row r="74" spans="1:36" x14ac:dyDescent="0.2">
      <c r="D74" t="s">
        <v>83</v>
      </c>
      <c r="F74">
        <v>0</v>
      </c>
      <c r="G74">
        <v>0</v>
      </c>
      <c r="H74">
        <v>0</v>
      </c>
      <c r="K74">
        <f>$AE$28</f>
        <v>0.9</v>
      </c>
      <c r="M74">
        <f>$AE$56</f>
        <v>0.75</v>
      </c>
      <c r="N74">
        <f t="shared" si="19"/>
        <v>0.5948500000000001</v>
      </c>
      <c r="P74">
        <f>$AE$83</f>
        <v>70</v>
      </c>
      <c r="Q74">
        <f t="shared" si="25"/>
        <v>1.6642845245495062</v>
      </c>
      <c r="R74">
        <f t="shared" si="20"/>
        <v>0.80210130091638532</v>
      </c>
      <c r="S74">
        <v>1</v>
      </c>
      <c r="T74">
        <f t="shared" si="21"/>
        <v>1.3349247822361667</v>
      </c>
      <c r="U74">
        <v>25</v>
      </c>
      <c r="V74">
        <f t="shared" si="22"/>
        <v>2.6676585906039937E-2</v>
      </c>
      <c r="X74">
        <f t="shared" si="23"/>
        <v>91.25</v>
      </c>
      <c r="Y74">
        <f t="shared" si="24"/>
        <v>60.855961598153606</v>
      </c>
      <c r="AD74" t="s">
        <v>82</v>
      </c>
      <c r="AE74">
        <v>69</v>
      </c>
      <c r="AF74">
        <v>55</v>
      </c>
      <c r="AG74">
        <v>43</v>
      </c>
      <c r="AH74">
        <v>50</v>
      </c>
      <c r="AI74">
        <v>50</v>
      </c>
      <c r="AJ74">
        <v>32</v>
      </c>
    </row>
    <row r="75" spans="1:36" x14ac:dyDescent="0.2">
      <c r="A75">
        <v>2</v>
      </c>
      <c r="C75" t="s">
        <v>73</v>
      </c>
      <c r="D75" t="s">
        <v>80</v>
      </c>
      <c r="F75">
        <v>0</v>
      </c>
      <c r="G75">
        <v>0</v>
      </c>
      <c r="H75">
        <v>0</v>
      </c>
      <c r="K75">
        <f>$AF$25</f>
        <v>4</v>
      </c>
      <c r="M75">
        <f>$AF$53</f>
        <v>0.7</v>
      </c>
      <c r="N75">
        <f t="shared" si="19"/>
        <v>0.55510000000000004</v>
      </c>
      <c r="P75">
        <f>$AF$80</f>
        <v>70</v>
      </c>
      <c r="Q75">
        <f t="shared" si="25"/>
        <v>1.5635664662315347</v>
      </c>
      <c r="R75">
        <f t="shared" si="20"/>
        <v>0.99999999999998734</v>
      </c>
      <c r="S75">
        <v>1</v>
      </c>
      <c r="T75">
        <f t="shared" si="21"/>
        <v>1.563566466231515</v>
      </c>
      <c r="U75">
        <v>50</v>
      </c>
      <c r="V75">
        <f t="shared" si="22"/>
        <v>3.0975049565152485E-2</v>
      </c>
      <c r="X75">
        <f t="shared" si="23"/>
        <v>91.25</v>
      </c>
      <c r="Y75">
        <f t="shared" si="24"/>
        <v>141.32366364100821</v>
      </c>
      <c r="AD75" t="s">
        <v>83</v>
      </c>
      <c r="AE75">
        <v>69</v>
      </c>
      <c r="AF75">
        <v>55</v>
      </c>
      <c r="AG75">
        <v>45</v>
      </c>
      <c r="AH75">
        <v>50</v>
      </c>
      <c r="AI75">
        <v>51</v>
      </c>
      <c r="AJ75">
        <v>34</v>
      </c>
    </row>
    <row r="76" spans="1:36" x14ac:dyDescent="0.2">
      <c r="D76" t="s">
        <v>81</v>
      </c>
      <c r="F76">
        <v>0</v>
      </c>
      <c r="G76">
        <v>0</v>
      </c>
      <c r="H76">
        <v>0</v>
      </c>
      <c r="K76">
        <f>$AF$26</f>
        <v>2.5</v>
      </c>
      <c r="M76">
        <f>$AF$54</f>
        <v>0.55000000000000004</v>
      </c>
      <c r="N76">
        <f t="shared" si="19"/>
        <v>0.43585000000000007</v>
      </c>
      <c r="P76">
        <f>$AF$81</f>
        <v>65</v>
      </c>
      <c r="Q76">
        <f t="shared" si="25"/>
        <v>1.1580752413958724</v>
      </c>
      <c r="R76">
        <f t="shared" si="20"/>
        <v>0.99999627334682795</v>
      </c>
      <c r="S76">
        <v>1</v>
      </c>
      <c r="T76">
        <f t="shared" si="21"/>
        <v>1.1580709256511006</v>
      </c>
      <c r="U76">
        <v>60</v>
      </c>
      <c r="V76">
        <f t="shared" si="22"/>
        <v>2.3351733402240695E-2</v>
      </c>
      <c r="X76">
        <f t="shared" si="23"/>
        <v>91.25</v>
      </c>
      <c r="Y76">
        <f t="shared" si="24"/>
        <v>127.85074037726781</v>
      </c>
      <c r="AD76" t="s">
        <v>80</v>
      </c>
      <c r="AE76">
        <v>58</v>
      </c>
      <c r="AF76">
        <v>50</v>
      </c>
      <c r="AG76">
        <v>35</v>
      </c>
      <c r="AH76">
        <v>40</v>
      </c>
      <c r="AI76">
        <v>45</v>
      </c>
      <c r="AJ76">
        <v>20</v>
      </c>
    </row>
    <row r="77" spans="1:36" x14ac:dyDescent="0.2">
      <c r="D77" t="s">
        <v>82</v>
      </c>
      <c r="F77">
        <v>0</v>
      </c>
      <c r="G77">
        <v>0</v>
      </c>
      <c r="H77">
        <v>0</v>
      </c>
      <c r="K77">
        <f>$AF$27</f>
        <v>0.7</v>
      </c>
      <c r="M77">
        <f>$AF$55</f>
        <v>0.55000000000000004</v>
      </c>
      <c r="N77">
        <f t="shared" si="19"/>
        <v>0.43585000000000007</v>
      </c>
      <c r="P77">
        <f>$AF$82</f>
        <v>60</v>
      </c>
      <c r="Q77">
        <f t="shared" si="25"/>
        <v>1.0575073475796353</v>
      </c>
      <c r="R77">
        <f t="shared" si="20"/>
        <v>0.62468890114860043</v>
      </c>
      <c r="S77">
        <v>1</v>
      </c>
      <c r="T77">
        <f t="shared" si="21"/>
        <v>0.66061310291609343</v>
      </c>
      <c r="U77">
        <v>55</v>
      </c>
      <c r="V77">
        <f t="shared" si="22"/>
        <v>1.3999526334822557E-2</v>
      </c>
      <c r="X77">
        <f t="shared" si="23"/>
        <v>91.25</v>
      </c>
      <c r="Y77">
        <f t="shared" si="24"/>
        <v>70.260122792890698</v>
      </c>
      <c r="AD77" t="s">
        <v>81</v>
      </c>
      <c r="AE77">
        <v>61</v>
      </c>
      <c r="AF77">
        <v>55</v>
      </c>
      <c r="AG77">
        <v>40</v>
      </c>
      <c r="AH77">
        <v>45</v>
      </c>
      <c r="AI77">
        <v>50</v>
      </c>
      <c r="AJ77">
        <v>25</v>
      </c>
    </row>
    <row r="78" spans="1:36" x14ac:dyDescent="0.2">
      <c r="D78" t="s">
        <v>83</v>
      </c>
      <c r="F78">
        <v>0</v>
      </c>
      <c r="G78">
        <v>0</v>
      </c>
      <c r="H78">
        <v>0</v>
      </c>
      <c r="K78">
        <f>$AF$28</f>
        <v>0.9</v>
      </c>
      <c r="M78">
        <f>$AF$56</f>
        <v>0.75</v>
      </c>
      <c r="N78">
        <f t="shared" si="19"/>
        <v>0.5948500000000001</v>
      </c>
      <c r="P78">
        <f>$AF$83</f>
        <v>60</v>
      </c>
      <c r="Q78">
        <f t="shared" si="25"/>
        <v>1.4163939481646182</v>
      </c>
      <c r="R78">
        <f t="shared" si="20"/>
        <v>0.80210130091638532</v>
      </c>
      <c r="S78">
        <v>1</v>
      </c>
      <c r="T78">
        <f t="shared" si="21"/>
        <v>1.1360914284329355</v>
      </c>
      <c r="U78">
        <v>55</v>
      </c>
      <c r="V78">
        <f t="shared" si="22"/>
        <v>2.2938518854539191E-2</v>
      </c>
      <c r="X78">
        <f t="shared" si="23"/>
        <v>91.25</v>
      </c>
      <c r="Y78">
        <f t="shared" si="24"/>
        <v>115.12269150121857</v>
      </c>
      <c r="AD78" t="s">
        <v>82</v>
      </c>
      <c r="AE78">
        <v>63</v>
      </c>
      <c r="AF78">
        <v>55</v>
      </c>
      <c r="AG78">
        <v>40</v>
      </c>
      <c r="AH78">
        <v>45</v>
      </c>
      <c r="AI78">
        <v>50</v>
      </c>
      <c r="AJ78">
        <v>20</v>
      </c>
    </row>
    <row r="79" spans="1:36" x14ac:dyDescent="0.2">
      <c r="A79">
        <v>3</v>
      </c>
      <c r="C79" t="s">
        <v>74</v>
      </c>
      <c r="D79" t="s">
        <v>80</v>
      </c>
      <c r="F79">
        <v>92</v>
      </c>
      <c r="G79">
        <v>87</v>
      </c>
      <c r="H79">
        <f>(F79/100*MIN(G79,100)/100)</f>
        <v>0.80040000000000011</v>
      </c>
      <c r="I79">
        <f>$AE$3</f>
        <v>1.3</v>
      </c>
      <c r="K79">
        <f>$AG$25</f>
        <v>4</v>
      </c>
      <c r="M79">
        <f>$AG$53</f>
        <v>0.7</v>
      </c>
      <c r="N79">
        <f t="shared" si="19"/>
        <v>0.55510000000000004</v>
      </c>
      <c r="P79">
        <f>$AG$80</f>
        <v>52</v>
      </c>
      <c r="Q79">
        <f>(104.7 * N79 + 0.307 * P79- 15) * POWER(P79, 0.75) * 10^-3</f>
        <v>1.1441022143482507</v>
      </c>
      <c r="R79">
        <f t="shared" si="20"/>
        <v>0.99999999999998734</v>
      </c>
      <c r="S79">
        <f>(H79 * I79) + (1 - H79)</f>
        <v>1.2401200000000001</v>
      </c>
      <c r="T79">
        <f t="shared" si="21"/>
        <v>1.4188240380575348</v>
      </c>
      <c r="U79">
        <v>60</v>
      </c>
      <c r="V79">
        <f t="shared" si="22"/>
        <v>2.8253891915481655E-2</v>
      </c>
      <c r="X79">
        <f t="shared" si="23"/>
        <v>91.25</v>
      </c>
      <c r="Y79">
        <f t="shared" si="24"/>
        <v>154.69005823726206</v>
      </c>
      <c r="AD79" t="s">
        <v>83</v>
      </c>
      <c r="AE79">
        <v>60</v>
      </c>
      <c r="AF79">
        <v>50</v>
      </c>
      <c r="AG79">
        <v>35</v>
      </c>
      <c r="AH79">
        <v>42</v>
      </c>
      <c r="AI79">
        <v>48</v>
      </c>
      <c r="AJ79">
        <v>25</v>
      </c>
    </row>
    <row r="80" spans="1:36" x14ac:dyDescent="0.2">
      <c r="D80" t="s">
        <v>81</v>
      </c>
      <c r="F80">
        <v>0</v>
      </c>
      <c r="G80">
        <v>0</v>
      </c>
      <c r="H80">
        <f>(F80/100*MIN(G80,100)/100)</f>
        <v>0</v>
      </c>
      <c r="K80">
        <f>$AG$26</f>
        <v>2.5</v>
      </c>
      <c r="M80">
        <f>$AG$54</f>
        <v>0.55000000000000004</v>
      </c>
      <c r="N80">
        <f t="shared" si="19"/>
        <v>0.43585000000000007</v>
      </c>
      <c r="P80">
        <f>$AG$81</f>
        <v>52</v>
      </c>
      <c r="Q80">
        <f t="shared" ref="Q80:Q94" si="26">(104.7 * N80 + 0.307 * P80- 15) * POWER(P80, 0.75) * 10^-3</f>
        <v>0.90232933809152693</v>
      </c>
      <c r="R80">
        <f t="shared" si="20"/>
        <v>0.99999627334682795</v>
      </c>
      <c r="S80">
        <f t="shared" ref="S80:S86" si="27">(H80 * I80) + (1 - H80)</f>
        <v>1</v>
      </c>
      <c r="T80">
        <f t="shared" si="21"/>
        <v>0.90232597542303694</v>
      </c>
      <c r="U80">
        <v>70</v>
      </c>
      <c r="V80">
        <f t="shared" si="22"/>
        <v>1.8543728337953095E-2</v>
      </c>
      <c r="X80">
        <f t="shared" si="23"/>
        <v>91.25</v>
      </c>
      <c r="Y80">
        <f t="shared" si="24"/>
        <v>118.4480647586754</v>
      </c>
      <c r="AD80" t="s">
        <v>80</v>
      </c>
      <c r="AE80">
        <v>80</v>
      </c>
      <c r="AF80">
        <v>70</v>
      </c>
      <c r="AG80">
        <v>52</v>
      </c>
      <c r="AH80">
        <v>55</v>
      </c>
      <c r="AI80">
        <v>55</v>
      </c>
      <c r="AJ80">
        <v>40</v>
      </c>
    </row>
    <row r="81" spans="1:36" x14ac:dyDescent="0.2">
      <c r="D81" t="s">
        <v>82</v>
      </c>
      <c r="F81">
        <v>0</v>
      </c>
      <c r="G81">
        <v>0</v>
      </c>
      <c r="H81">
        <f t="shared" ref="H81:H83" si="28">(F81/100*MIN(G81,100)/100)</f>
        <v>0</v>
      </c>
      <c r="K81">
        <f>$AG$27</f>
        <v>0.7</v>
      </c>
      <c r="M81">
        <f>$AG$55</f>
        <v>0.55000000000000004</v>
      </c>
      <c r="N81">
        <f t="shared" si="19"/>
        <v>0.43585000000000007</v>
      </c>
      <c r="P81">
        <f>$AG$82</f>
        <v>52</v>
      </c>
      <c r="Q81">
        <f t="shared" si="26"/>
        <v>0.90232933809152693</v>
      </c>
      <c r="R81">
        <f t="shared" si="20"/>
        <v>0.62468890114860043</v>
      </c>
      <c r="S81">
        <f t="shared" si="27"/>
        <v>1</v>
      </c>
      <c r="T81">
        <f t="shared" si="21"/>
        <v>0.56367512268653996</v>
      </c>
      <c r="U81">
        <v>60</v>
      </c>
      <c r="V81">
        <f t="shared" si="22"/>
        <v>1.2177092306506952E-2</v>
      </c>
      <c r="X81">
        <f t="shared" si="23"/>
        <v>91.25</v>
      </c>
      <c r="Y81">
        <f t="shared" si="24"/>
        <v>66.669580378125559</v>
      </c>
      <c r="AD81" t="s">
        <v>81</v>
      </c>
      <c r="AE81">
        <v>70</v>
      </c>
      <c r="AF81">
        <v>65</v>
      </c>
      <c r="AG81">
        <v>52</v>
      </c>
      <c r="AH81">
        <v>55</v>
      </c>
      <c r="AI81">
        <v>55</v>
      </c>
      <c r="AJ81">
        <v>45</v>
      </c>
    </row>
    <row r="82" spans="1:36" x14ac:dyDescent="0.2">
      <c r="D82" t="s">
        <v>83</v>
      </c>
      <c r="F82">
        <v>0</v>
      </c>
      <c r="G82">
        <v>0</v>
      </c>
      <c r="H82">
        <f t="shared" si="28"/>
        <v>0</v>
      </c>
      <c r="K82">
        <f>$AG$28</f>
        <v>0.9</v>
      </c>
      <c r="M82">
        <f>$AG$56</f>
        <v>0.75</v>
      </c>
      <c r="N82">
        <f t="shared" si="19"/>
        <v>0.5948500000000001</v>
      </c>
      <c r="P82">
        <f>$AG$83</f>
        <v>52</v>
      </c>
      <c r="Q82">
        <f t="shared" si="26"/>
        <v>1.224693173100492</v>
      </c>
      <c r="R82">
        <f t="shared" si="20"/>
        <v>0.80210130091638532</v>
      </c>
      <c r="S82">
        <f t="shared" si="27"/>
        <v>1</v>
      </c>
      <c r="T82">
        <f t="shared" si="21"/>
        <v>0.98232798736732052</v>
      </c>
      <c r="U82">
        <v>50</v>
      </c>
      <c r="V82">
        <f t="shared" si="22"/>
        <v>2.0047766162505629E-2</v>
      </c>
      <c r="X82">
        <f t="shared" si="23"/>
        <v>91.25</v>
      </c>
      <c r="Y82">
        <f t="shared" si="24"/>
        <v>91.467933116431922</v>
      </c>
      <c r="AD82" t="s">
        <v>82</v>
      </c>
      <c r="AE82">
        <v>70</v>
      </c>
      <c r="AF82">
        <v>60</v>
      </c>
      <c r="AG82">
        <v>52</v>
      </c>
      <c r="AH82">
        <v>55</v>
      </c>
      <c r="AI82">
        <v>55</v>
      </c>
      <c r="AJ82">
        <v>20</v>
      </c>
    </row>
    <row r="83" spans="1:36" x14ac:dyDescent="0.2">
      <c r="A83">
        <v>4</v>
      </c>
      <c r="C83" t="s">
        <v>75</v>
      </c>
      <c r="D83" t="s">
        <v>80</v>
      </c>
      <c r="F83">
        <v>95</v>
      </c>
      <c r="G83">
        <v>88</v>
      </c>
      <c r="H83">
        <f t="shared" si="28"/>
        <v>0.83599999999999997</v>
      </c>
      <c r="I83">
        <f>$AE$3</f>
        <v>1.3</v>
      </c>
      <c r="K83">
        <f>$AH$25</f>
        <v>4</v>
      </c>
      <c r="M83">
        <f>$AH$53</f>
        <v>0.7</v>
      </c>
      <c r="N83">
        <f t="shared" si="19"/>
        <v>0.55510000000000004</v>
      </c>
      <c r="P83">
        <f>$AH$80</f>
        <v>55</v>
      </c>
      <c r="Q83">
        <f t="shared" si="26"/>
        <v>1.2118587484135388</v>
      </c>
      <c r="R83">
        <f t="shared" si="20"/>
        <v>0.99999999999998734</v>
      </c>
      <c r="S83">
        <f t="shared" si="27"/>
        <v>1.2507999999999999</v>
      </c>
      <c r="T83">
        <f t="shared" si="21"/>
        <v>1.515792922515635</v>
      </c>
      <c r="U83">
        <v>40</v>
      </c>
      <c r="V83">
        <f t="shared" si="22"/>
        <v>3.007690694329394E-2</v>
      </c>
      <c r="X83">
        <f t="shared" si="23"/>
        <v>91.25</v>
      </c>
      <c r="Y83">
        <f t="shared" si="24"/>
        <v>109.78071034302289</v>
      </c>
      <c r="AD83" t="s">
        <v>83</v>
      </c>
      <c r="AE83">
        <v>70</v>
      </c>
      <c r="AF83">
        <v>60</v>
      </c>
      <c r="AG83">
        <v>52</v>
      </c>
      <c r="AH83">
        <v>55</v>
      </c>
      <c r="AI83">
        <v>55</v>
      </c>
      <c r="AJ83">
        <v>30</v>
      </c>
    </row>
    <row r="84" spans="1:36" x14ac:dyDescent="0.2">
      <c r="D84" t="s">
        <v>81</v>
      </c>
      <c r="F84">
        <v>0</v>
      </c>
      <c r="G84">
        <v>0</v>
      </c>
      <c r="H84">
        <v>0</v>
      </c>
      <c r="K84">
        <f>$AH$26</f>
        <v>2.5</v>
      </c>
      <c r="M84">
        <f>$AH$54</f>
        <v>0.55000000000000004</v>
      </c>
      <c r="N84">
        <f t="shared" si="19"/>
        <v>0.43585000000000007</v>
      </c>
      <c r="P84">
        <f>$AH$81</f>
        <v>55</v>
      </c>
      <c r="Q84">
        <f t="shared" si="26"/>
        <v>0.95969823125361531</v>
      </c>
      <c r="R84">
        <f t="shared" si="20"/>
        <v>0.99999627334682795</v>
      </c>
      <c r="S84">
        <f t="shared" si="27"/>
        <v>1</v>
      </c>
      <c r="T84">
        <f t="shared" si="21"/>
        <v>0.95969465479115756</v>
      </c>
      <c r="U84">
        <v>45</v>
      </c>
      <c r="V84">
        <f t="shared" si="22"/>
        <v>1.9622259510073764E-2</v>
      </c>
      <c r="X84">
        <f t="shared" si="23"/>
        <v>91.25</v>
      </c>
      <c r="Y84">
        <f t="shared" si="24"/>
        <v>80.573903113240391</v>
      </c>
      <c r="AD84" t="s">
        <v>80</v>
      </c>
      <c r="AE84">
        <v>90</v>
      </c>
      <c r="AF84">
        <v>55</v>
      </c>
      <c r="AG84">
        <v>45</v>
      </c>
      <c r="AH84">
        <v>50</v>
      </c>
      <c r="AI84">
        <v>50</v>
      </c>
      <c r="AJ84">
        <v>14</v>
      </c>
    </row>
    <row r="85" spans="1:36" x14ac:dyDescent="0.2">
      <c r="D85" t="s">
        <v>82</v>
      </c>
      <c r="F85">
        <v>0</v>
      </c>
      <c r="G85">
        <v>0</v>
      </c>
      <c r="H85">
        <v>0</v>
      </c>
      <c r="K85">
        <f>$AH$27</f>
        <v>0.7</v>
      </c>
      <c r="M85">
        <f>$AH$55</f>
        <v>0.55000000000000004</v>
      </c>
      <c r="N85">
        <f t="shared" si="19"/>
        <v>0.43585000000000007</v>
      </c>
      <c r="P85">
        <f>$AH$82</f>
        <v>55</v>
      </c>
      <c r="Q85">
        <f t="shared" si="26"/>
        <v>0.95969823125361531</v>
      </c>
      <c r="R85">
        <f t="shared" si="20"/>
        <v>0.62468890114860043</v>
      </c>
      <c r="S85">
        <f t="shared" si="27"/>
        <v>1</v>
      </c>
      <c r="T85">
        <f t="shared" si="21"/>
        <v>0.59951283351607632</v>
      </c>
      <c r="U85">
        <v>40</v>
      </c>
      <c r="V85">
        <f t="shared" si="22"/>
        <v>1.2850841270102236E-2</v>
      </c>
      <c r="X85">
        <f t="shared" si="23"/>
        <v>91.25</v>
      </c>
      <c r="Y85">
        <f t="shared" si="24"/>
        <v>46.905570635873161</v>
      </c>
      <c r="AD85" t="s">
        <v>81</v>
      </c>
      <c r="AE85">
        <v>90</v>
      </c>
      <c r="AF85">
        <v>55</v>
      </c>
      <c r="AG85">
        <v>45</v>
      </c>
      <c r="AH85">
        <v>50</v>
      </c>
      <c r="AI85">
        <v>50</v>
      </c>
      <c r="AJ85">
        <v>24</v>
      </c>
    </row>
    <row r="86" spans="1:36" x14ac:dyDescent="0.2">
      <c r="D86" t="s">
        <v>83</v>
      </c>
      <c r="F86">
        <v>0</v>
      </c>
      <c r="G86">
        <v>0</v>
      </c>
      <c r="H86">
        <v>0</v>
      </c>
      <c r="K86">
        <f>$AH$28</f>
        <v>0.9</v>
      </c>
      <c r="M86">
        <f>$AH$56</f>
        <v>0.75</v>
      </c>
      <c r="N86">
        <f t="shared" si="19"/>
        <v>0.5948500000000001</v>
      </c>
      <c r="P86">
        <f>$AH$83</f>
        <v>55</v>
      </c>
      <c r="Q86">
        <f t="shared" si="26"/>
        <v>1.2959122541335131</v>
      </c>
      <c r="R86">
        <f t="shared" si="20"/>
        <v>0.80210130091638532</v>
      </c>
      <c r="S86">
        <f t="shared" si="27"/>
        <v>1</v>
      </c>
      <c r="T86">
        <f t="shared" si="21"/>
        <v>1.0394529049139762</v>
      </c>
      <c r="U86">
        <v>35</v>
      </c>
      <c r="V86">
        <f t="shared" si="22"/>
        <v>2.1121714612382755E-2</v>
      </c>
      <c r="X86">
        <f t="shared" si="23"/>
        <v>91.25</v>
      </c>
      <c r="Y86">
        <f t="shared" si="24"/>
        <v>67.457476043297433</v>
      </c>
      <c r="AD86" t="s">
        <v>82</v>
      </c>
      <c r="AE86">
        <v>75</v>
      </c>
      <c r="AF86">
        <v>50</v>
      </c>
      <c r="AG86">
        <v>45</v>
      </c>
      <c r="AH86">
        <v>50</v>
      </c>
      <c r="AI86">
        <v>50</v>
      </c>
      <c r="AJ86">
        <v>36</v>
      </c>
    </row>
    <row r="87" spans="1:36" x14ac:dyDescent="0.2">
      <c r="A87">
        <v>5</v>
      </c>
      <c r="C87" t="s">
        <v>76</v>
      </c>
      <c r="D87" t="s">
        <v>80</v>
      </c>
      <c r="F87">
        <v>0</v>
      </c>
      <c r="G87">
        <v>0</v>
      </c>
      <c r="H87">
        <v>0</v>
      </c>
      <c r="K87">
        <f>$AI$25</f>
        <v>4</v>
      </c>
      <c r="M87">
        <f>$AI$53</f>
        <v>0.7</v>
      </c>
      <c r="N87">
        <f t="shared" si="19"/>
        <v>0.55510000000000004</v>
      </c>
      <c r="P87">
        <f>$AI$80</f>
        <v>55</v>
      </c>
      <c r="Q87">
        <f t="shared" si="26"/>
        <v>1.2118587484135388</v>
      </c>
      <c r="R87">
        <f t="shared" si="20"/>
        <v>0.99999999999998734</v>
      </c>
      <c r="S87">
        <v>1</v>
      </c>
      <c r="T87">
        <f t="shared" si="21"/>
        <v>1.2118587484135235</v>
      </c>
      <c r="U87">
        <v>25</v>
      </c>
      <c r="V87">
        <f t="shared" si="22"/>
        <v>2.4362944470174244E-2</v>
      </c>
      <c r="X87">
        <f t="shared" si="23"/>
        <v>91.25</v>
      </c>
      <c r="Y87">
        <f t="shared" si="24"/>
        <v>55.577967072584997</v>
      </c>
      <c r="AD87" t="s">
        <v>83</v>
      </c>
      <c r="AE87">
        <v>75</v>
      </c>
      <c r="AF87">
        <v>45</v>
      </c>
      <c r="AG87">
        <v>50</v>
      </c>
      <c r="AH87">
        <v>55</v>
      </c>
      <c r="AI87">
        <v>50</v>
      </c>
      <c r="AJ87">
        <v>42</v>
      </c>
    </row>
    <row r="88" spans="1:36" x14ac:dyDescent="0.2">
      <c r="D88" t="s">
        <v>81</v>
      </c>
      <c r="F88">
        <v>0</v>
      </c>
      <c r="G88">
        <v>0</v>
      </c>
      <c r="H88">
        <v>0</v>
      </c>
      <c r="K88">
        <f>$AI$26</f>
        <v>2.5</v>
      </c>
      <c r="M88">
        <f>$AI$54</f>
        <v>0.55000000000000004</v>
      </c>
      <c r="N88">
        <f t="shared" si="19"/>
        <v>0.43585000000000007</v>
      </c>
      <c r="P88">
        <f>$AI$81</f>
        <v>55</v>
      </c>
      <c r="Q88">
        <f t="shared" si="26"/>
        <v>0.95969823125361531</v>
      </c>
      <c r="R88">
        <f t="shared" si="20"/>
        <v>0.99999627334682795</v>
      </c>
      <c r="S88">
        <v>1</v>
      </c>
      <c r="T88">
        <f t="shared" si="21"/>
        <v>0.95969465479115756</v>
      </c>
      <c r="U88">
        <v>30</v>
      </c>
      <c r="V88">
        <f t="shared" si="22"/>
        <v>1.9622259510073764E-2</v>
      </c>
      <c r="X88">
        <f t="shared" si="23"/>
        <v>91.25</v>
      </c>
      <c r="Y88">
        <f t="shared" si="24"/>
        <v>53.715935408826923</v>
      </c>
      <c r="AD88" t="s">
        <v>80</v>
      </c>
      <c r="AE88">
        <v>70</v>
      </c>
      <c r="AF88">
        <v>60</v>
      </c>
      <c r="AG88">
        <v>50</v>
      </c>
      <c r="AH88">
        <v>55</v>
      </c>
      <c r="AI88">
        <v>50</v>
      </c>
      <c r="AJ88">
        <v>22</v>
      </c>
    </row>
    <row r="89" spans="1:36" x14ac:dyDescent="0.2">
      <c r="D89" t="s">
        <v>82</v>
      </c>
      <c r="F89">
        <v>0</v>
      </c>
      <c r="G89">
        <v>0</v>
      </c>
      <c r="H89">
        <v>0</v>
      </c>
      <c r="K89">
        <f>$AI$27</f>
        <v>0.7</v>
      </c>
      <c r="M89">
        <f>$AI$55</f>
        <v>0.55000000000000004</v>
      </c>
      <c r="N89">
        <f t="shared" si="19"/>
        <v>0.43585000000000007</v>
      </c>
      <c r="P89">
        <f>$AI$82</f>
        <v>55</v>
      </c>
      <c r="Q89">
        <f t="shared" si="26"/>
        <v>0.95969823125361531</v>
      </c>
      <c r="R89">
        <f t="shared" si="20"/>
        <v>0.62468890114860043</v>
      </c>
      <c r="S89">
        <v>1</v>
      </c>
      <c r="T89">
        <f t="shared" si="21"/>
        <v>0.59951283351607632</v>
      </c>
      <c r="U89">
        <v>25</v>
      </c>
      <c r="V89">
        <f t="shared" si="22"/>
        <v>1.2850841270102236E-2</v>
      </c>
      <c r="X89">
        <f t="shared" si="23"/>
        <v>91.25</v>
      </c>
      <c r="Y89">
        <f t="shared" si="24"/>
        <v>29.315981647420724</v>
      </c>
      <c r="AD89" t="s">
        <v>81</v>
      </c>
      <c r="AE89">
        <v>65</v>
      </c>
      <c r="AF89">
        <v>55</v>
      </c>
      <c r="AG89">
        <v>45</v>
      </c>
      <c r="AH89">
        <v>50</v>
      </c>
      <c r="AI89">
        <v>50</v>
      </c>
      <c r="AJ89">
        <v>28</v>
      </c>
    </row>
    <row r="90" spans="1:36" x14ac:dyDescent="0.2">
      <c r="D90" t="s">
        <v>83</v>
      </c>
      <c r="F90">
        <v>0</v>
      </c>
      <c r="G90">
        <v>0</v>
      </c>
      <c r="H90">
        <v>0</v>
      </c>
      <c r="K90">
        <f>$AI$28</f>
        <v>0.9</v>
      </c>
      <c r="M90">
        <f>$AI$56</f>
        <v>0.75</v>
      </c>
      <c r="N90">
        <f t="shared" si="19"/>
        <v>0.5948500000000001</v>
      </c>
      <c r="P90">
        <f>$AI$83</f>
        <v>55</v>
      </c>
      <c r="Q90">
        <f t="shared" si="26"/>
        <v>1.2959122541335131</v>
      </c>
      <c r="R90">
        <f t="shared" si="20"/>
        <v>0.80210130091638532</v>
      </c>
      <c r="S90">
        <v>1</v>
      </c>
      <c r="T90">
        <f t="shared" si="21"/>
        <v>1.0394529049139762</v>
      </c>
      <c r="U90">
        <v>20</v>
      </c>
      <c r="V90">
        <f t="shared" si="22"/>
        <v>2.1121714612382755E-2</v>
      </c>
      <c r="X90">
        <f t="shared" si="23"/>
        <v>91.25</v>
      </c>
      <c r="Y90">
        <f t="shared" si="24"/>
        <v>38.547129167598527</v>
      </c>
      <c r="AD90" t="s">
        <v>82</v>
      </c>
      <c r="AE90">
        <v>65</v>
      </c>
      <c r="AF90">
        <v>52</v>
      </c>
      <c r="AG90">
        <v>43</v>
      </c>
      <c r="AH90">
        <v>48</v>
      </c>
      <c r="AI90">
        <v>50</v>
      </c>
      <c r="AJ90">
        <v>33</v>
      </c>
    </row>
    <row r="91" spans="1:36" x14ac:dyDescent="0.2">
      <c r="A91">
        <v>6</v>
      </c>
      <c r="C91" t="s">
        <v>77</v>
      </c>
      <c r="D91" t="s">
        <v>80</v>
      </c>
      <c r="F91">
        <v>0</v>
      </c>
      <c r="G91">
        <v>0</v>
      </c>
      <c r="H91">
        <v>0</v>
      </c>
      <c r="K91">
        <f>$AJ$25</f>
        <v>4</v>
      </c>
      <c r="M91">
        <f>$AJ$53</f>
        <v>0.7</v>
      </c>
      <c r="N91">
        <f t="shared" si="19"/>
        <v>0.55510000000000004</v>
      </c>
      <c r="P91">
        <f>$AJ$80</f>
        <v>40</v>
      </c>
      <c r="Q91">
        <f t="shared" si="26"/>
        <v>0.88114358489687972</v>
      </c>
      <c r="R91">
        <f t="shared" si="20"/>
        <v>0.99999999999998734</v>
      </c>
      <c r="S91">
        <v>1</v>
      </c>
      <c r="T91">
        <f t="shared" si="21"/>
        <v>0.88114358489686861</v>
      </c>
      <c r="U91">
        <v>15</v>
      </c>
      <c r="V91">
        <f t="shared" si="22"/>
        <v>1.8145499396061131E-2</v>
      </c>
      <c r="X91">
        <f t="shared" si="23"/>
        <v>91.25</v>
      </c>
      <c r="Y91">
        <f t="shared" si="24"/>
        <v>24.836652298358672</v>
      </c>
      <c r="AD91" t="s">
        <v>83</v>
      </c>
      <c r="AE91">
        <v>60</v>
      </c>
      <c r="AF91">
        <v>50</v>
      </c>
      <c r="AG91">
        <v>40</v>
      </c>
      <c r="AH91">
        <v>45</v>
      </c>
      <c r="AI91">
        <v>50</v>
      </c>
      <c r="AJ91">
        <v>35</v>
      </c>
    </row>
    <row r="92" spans="1:36" x14ac:dyDescent="0.2">
      <c r="D92" t="s">
        <v>81</v>
      </c>
      <c r="F92">
        <v>0</v>
      </c>
      <c r="G92">
        <v>0</v>
      </c>
      <c r="H92">
        <v>0</v>
      </c>
      <c r="K92">
        <f>$AJ$26</f>
        <v>2.5</v>
      </c>
      <c r="M92">
        <f>$AJ$54</f>
        <v>0.55000000000000004</v>
      </c>
      <c r="N92">
        <f t="shared" si="19"/>
        <v>0.43585000000000007</v>
      </c>
      <c r="P92">
        <f>$AJ$81</f>
        <v>45</v>
      </c>
      <c r="Q92">
        <f t="shared" si="26"/>
        <v>0.77226516609487061</v>
      </c>
      <c r="R92">
        <f t="shared" si="20"/>
        <v>0.99999627334682795</v>
      </c>
      <c r="S92">
        <v>1</v>
      </c>
      <c r="T92">
        <f t="shared" si="21"/>
        <v>0.77226228813043973</v>
      </c>
      <c r="U92">
        <v>45</v>
      </c>
      <c r="V92">
        <f t="shared" si="22"/>
        <v>1.6098531016852269E-2</v>
      </c>
      <c r="X92">
        <f t="shared" si="23"/>
        <v>91.25</v>
      </c>
      <c r="Y92">
        <f t="shared" si="24"/>
        <v>66.10459298794963</v>
      </c>
      <c r="AD92" t="s">
        <v>80</v>
      </c>
      <c r="AE92">
        <v>75</v>
      </c>
      <c r="AF92">
        <v>60</v>
      </c>
      <c r="AG92">
        <v>50</v>
      </c>
      <c r="AH92">
        <v>55</v>
      </c>
      <c r="AI92">
        <v>55</v>
      </c>
      <c r="AJ92">
        <v>30</v>
      </c>
    </row>
    <row r="93" spans="1:36" x14ac:dyDescent="0.2">
      <c r="D93" t="s">
        <v>82</v>
      </c>
      <c r="F93">
        <v>0</v>
      </c>
      <c r="G93">
        <v>0</v>
      </c>
      <c r="H93">
        <v>0</v>
      </c>
      <c r="K93">
        <f>$AJ$27</f>
        <v>0.7</v>
      </c>
      <c r="M93">
        <f>$AJ$55</f>
        <v>0.55000000000000004</v>
      </c>
      <c r="N93">
        <f t="shared" si="19"/>
        <v>0.43585000000000007</v>
      </c>
      <c r="P93">
        <f>$AJ$82</f>
        <v>20</v>
      </c>
      <c r="Q93">
        <f t="shared" si="26"/>
        <v>0.34778224329970253</v>
      </c>
      <c r="R93">
        <f t="shared" si="20"/>
        <v>0.62468890114860043</v>
      </c>
      <c r="S93">
        <v>1</v>
      </c>
      <c r="T93">
        <f t="shared" si="21"/>
        <v>0.21725570740588637</v>
      </c>
      <c r="U93">
        <v>40</v>
      </c>
      <c r="V93">
        <f t="shared" si="22"/>
        <v>5.6644072992306635E-3</v>
      </c>
      <c r="X93">
        <f t="shared" si="23"/>
        <v>91.25</v>
      </c>
      <c r="Y93">
        <f t="shared" si="24"/>
        <v>20.675086642191921</v>
      </c>
      <c r="AD93" t="s">
        <v>81</v>
      </c>
      <c r="AE93">
        <v>65</v>
      </c>
      <c r="AF93">
        <v>55</v>
      </c>
      <c r="AG93">
        <v>45</v>
      </c>
      <c r="AH93">
        <v>50</v>
      </c>
      <c r="AI93">
        <v>50</v>
      </c>
      <c r="AJ93">
        <v>30</v>
      </c>
    </row>
    <row r="94" spans="1:36" x14ac:dyDescent="0.2">
      <c r="D94" t="s">
        <v>83</v>
      </c>
      <c r="F94">
        <v>0</v>
      </c>
      <c r="G94">
        <v>0</v>
      </c>
      <c r="H94">
        <v>0</v>
      </c>
      <c r="K94">
        <f>$AJ$28</f>
        <v>0.9</v>
      </c>
      <c r="M94">
        <f>$AJ$56</f>
        <v>0.75</v>
      </c>
      <c r="N94">
        <f t="shared" si="19"/>
        <v>0.5948500000000001</v>
      </c>
      <c r="P94">
        <f>$AJ$83</f>
        <v>30</v>
      </c>
      <c r="Q94">
        <f t="shared" si="26"/>
        <v>0.72413348053480053</v>
      </c>
      <c r="R94">
        <f t="shared" si="20"/>
        <v>0.80210130091638532</v>
      </c>
      <c r="S94">
        <v>1</v>
      </c>
      <c r="T94">
        <f t="shared" si="21"/>
        <v>0.58082840677407355</v>
      </c>
      <c r="U94">
        <v>30</v>
      </c>
      <c r="V94">
        <f t="shared" si="22"/>
        <v>1.2499574047352583E-2</v>
      </c>
      <c r="X94">
        <f t="shared" si="23"/>
        <v>91.25</v>
      </c>
      <c r="Y94">
        <f t="shared" si="24"/>
        <v>34.217583954627699</v>
      </c>
      <c r="AD94" t="s">
        <v>82</v>
      </c>
      <c r="AE94">
        <v>65</v>
      </c>
      <c r="AF94">
        <v>48</v>
      </c>
      <c r="AG94">
        <v>40</v>
      </c>
      <c r="AH94">
        <v>45</v>
      </c>
      <c r="AI94">
        <v>45</v>
      </c>
      <c r="AJ94">
        <v>10</v>
      </c>
    </row>
    <row r="95" spans="1:36" x14ac:dyDescent="0.2">
      <c r="AD95" t="s">
        <v>83</v>
      </c>
      <c r="AE95">
        <v>65</v>
      </c>
      <c r="AF95">
        <v>48</v>
      </c>
      <c r="AG95">
        <v>45</v>
      </c>
      <c r="AH95">
        <v>50</v>
      </c>
      <c r="AI95">
        <v>50</v>
      </c>
      <c r="AJ95">
        <v>20</v>
      </c>
    </row>
    <row r="101" spans="1:26" x14ac:dyDescent="0.2">
      <c r="A101" t="s">
        <v>103</v>
      </c>
      <c r="B101" t="s">
        <v>102</v>
      </c>
      <c r="C101" t="s">
        <v>72</v>
      </c>
      <c r="D101" t="s">
        <v>80</v>
      </c>
      <c r="F101">
        <v>0</v>
      </c>
      <c r="G101">
        <v>0</v>
      </c>
      <c r="H101">
        <v>0</v>
      </c>
      <c r="K101">
        <f>$AE$29</f>
        <v>2.5</v>
      </c>
      <c r="M101">
        <f>$AE$57</f>
        <v>0.75</v>
      </c>
      <c r="N101">
        <f>(0.795 * M101) - 0.0014</f>
        <v>0.5948500000000001</v>
      </c>
      <c r="P101">
        <f>$AE$84</f>
        <v>90</v>
      </c>
      <c r="Q101">
        <f>(104.7 * N101 + 0.307 * P101- 15) * POWER(P101, 0.75) * 10^-3</f>
        <v>2.188901849330922</v>
      </c>
      <c r="R101">
        <f>1-EXP(-2*POWER(K101,2))</f>
        <v>0.99999627334682795</v>
      </c>
      <c r="S101">
        <v>1</v>
      </c>
      <c r="T101">
        <f>Q101 * R101 * S101</f>
        <v>2.1888936920529019</v>
      </c>
      <c r="U101">
        <v>25</v>
      </c>
      <c r="V101">
        <f>(T101 * 0.0188) + 0.00158</f>
        <v>4.2731201410594555E-2</v>
      </c>
      <c r="X101">
        <f>$AE$4</f>
        <v>91.25</v>
      </c>
      <c r="Y101">
        <f>U101*V101*X101</f>
        <v>97.480553217918825</v>
      </c>
      <c r="Z101">
        <f>SUM(Y101:Y124)*10^-3</f>
        <v>1.736568628551417</v>
      </c>
    </row>
    <row r="102" spans="1:26" x14ac:dyDescent="0.2">
      <c r="D102" t="s">
        <v>81</v>
      </c>
      <c r="F102">
        <v>0</v>
      </c>
      <c r="G102">
        <v>0</v>
      </c>
      <c r="H102">
        <v>0</v>
      </c>
      <c r="K102">
        <f>$AE$30</f>
        <v>2.5</v>
      </c>
      <c r="M102">
        <f>$AE$58</f>
        <v>0.55000000000000004</v>
      </c>
      <c r="N102">
        <f t="shared" ref="N102:N124" si="29">(0.795 * M102) - 0.0014</f>
        <v>0.43585000000000007</v>
      </c>
      <c r="P102">
        <f>$AE$85</f>
        <v>90</v>
      </c>
      <c r="Q102">
        <f>(104.7 * N102 + 0.307 * P102- 15) * POWER(P102, 0.75) * 10^-3</f>
        <v>1.7024658722949466</v>
      </c>
      <c r="R102">
        <f t="shared" ref="R102:R124" si="30">1-EXP(-2*POWER(K102,2))</f>
        <v>0.99999627334682795</v>
      </c>
      <c r="S102">
        <v>1</v>
      </c>
      <c r="T102">
        <f t="shared" ref="T102:T124" si="31">Q102 * R102 * S102</f>
        <v>1.7024595277951033</v>
      </c>
      <c r="U102">
        <v>20</v>
      </c>
      <c r="V102">
        <f t="shared" ref="V102:V124" si="32">(T102 * 0.0188) + 0.00158</f>
        <v>3.3586239122547941E-2</v>
      </c>
      <c r="X102">
        <f t="shared" ref="X102:X124" si="33">$AE$4</f>
        <v>91.25</v>
      </c>
      <c r="Y102">
        <f t="shared" ref="Y102:Y124" si="34">U102*V102*X102</f>
        <v>61.294886398649993</v>
      </c>
    </row>
    <row r="103" spans="1:26" x14ac:dyDescent="0.2">
      <c r="D103" t="s">
        <v>82</v>
      </c>
      <c r="F103">
        <v>0</v>
      </c>
      <c r="G103">
        <v>0</v>
      </c>
      <c r="H103">
        <v>0</v>
      </c>
      <c r="K103">
        <f>$AE$31</f>
        <v>1.3</v>
      </c>
      <c r="M103">
        <f>$AE$59</f>
        <v>0.67</v>
      </c>
      <c r="N103">
        <f t="shared" si="29"/>
        <v>0.53125000000000011</v>
      </c>
      <c r="P103">
        <f>$AE$86</f>
        <v>75</v>
      </c>
      <c r="Q103">
        <f t="shared" ref="Q103:Q108" si="35">(104.7 * N103 + 0.307 * P103- 15) * POWER(P103, 0.75) * 10^-3</f>
        <v>1.6220828500688129</v>
      </c>
      <c r="R103">
        <f t="shared" si="30"/>
        <v>0.96595254526540064</v>
      </c>
      <c r="S103">
        <v>1</v>
      </c>
      <c r="T103">
        <f t="shared" si="31"/>
        <v>1.5668550576553251</v>
      </c>
      <c r="U103">
        <v>19</v>
      </c>
      <c r="V103">
        <f t="shared" si="32"/>
        <v>3.1036875083920112E-2</v>
      </c>
      <c r="X103">
        <f t="shared" si="33"/>
        <v>91.25</v>
      </c>
      <c r="Y103">
        <f t="shared" si="34"/>
        <v>53.810182176746501</v>
      </c>
    </row>
    <row r="104" spans="1:26" x14ac:dyDescent="0.2">
      <c r="D104" t="s">
        <v>83</v>
      </c>
      <c r="F104">
        <v>0</v>
      </c>
      <c r="G104">
        <v>0</v>
      </c>
      <c r="H104">
        <v>0</v>
      </c>
      <c r="K104">
        <f>$AE$32</f>
        <v>0.8</v>
      </c>
      <c r="M104">
        <f>$AE$60</f>
        <v>0.7</v>
      </c>
      <c r="N104">
        <f t="shared" si="29"/>
        <v>0.55510000000000004</v>
      </c>
      <c r="P104">
        <f>$AE$87</f>
        <v>75</v>
      </c>
      <c r="Q104">
        <f t="shared" si="35"/>
        <v>1.6857229733976102</v>
      </c>
      <c r="R104">
        <f t="shared" si="30"/>
        <v>0.72196269954680592</v>
      </c>
      <c r="S104">
        <v>1</v>
      </c>
      <c r="T104">
        <f t="shared" si="31"/>
        <v>1.2170291085622071</v>
      </c>
      <c r="U104">
        <v>25</v>
      </c>
      <c r="V104">
        <f t="shared" si="32"/>
        <v>2.4460147240969496E-2</v>
      </c>
      <c r="X104">
        <f t="shared" si="33"/>
        <v>91.25</v>
      </c>
      <c r="Y104">
        <f t="shared" si="34"/>
        <v>55.799710893461658</v>
      </c>
    </row>
    <row r="105" spans="1:26" x14ac:dyDescent="0.2">
      <c r="A105">
        <v>2</v>
      </c>
      <c r="C105" t="s">
        <v>73</v>
      </c>
      <c r="D105" t="s">
        <v>80</v>
      </c>
      <c r="F105">
        <v>0</v>
      </c>
      <c r="G105">
        <v>0</v>
      </c>
      <c r="H105">
        <v>0</v>
      </c>
      <c r="K105">
        <f>$AF$29</f>
        <v>2.5</v>
      </c>
      <c r="M105">
        <f>$AF$57</f>
        <v>0.75</v>
      </c>
      <c r="N105">
        <f t="shared" si="29"/>
        <v>0.5948500000000001</v>
      </c>
      <c r="P105">
        <f>$AF$84</f>
        <v>55</v>
      </c>
      <c r="Q105">
        <f t="shared" si="35"/>
        <v>1.2959122541335131</v>
      </c>
      <c r="R105">
        <f t="shared" si="30"/>
        <v>0.99999627334682795</v>
      </c>
      <c r="S105">
        <v>1</v>
      </c>
      <c r="T105">
        <f t="shared" si="31"/>
        <v>1.2959074247180005</v>
      </c>
      <c r="U105">
        <v>50</v>
      </c>
      <c r="V105">
        <f t="shared" si="32"/>
        <v>2.5943059584698412E-2</v>
      </c>
      <c r="X105">
        <f t="shared" si="33"/>
        <v>91.25</v>
      </c>
      <c r="Y105">
        <f t="shared" si="34"/>
        <v>118.36520935518651</v>
      </c>
    </row>
    <row r="106" spans="1:26" x14ac:dyDescent="0.2">
      <c r="D106" t="s">
        <v>81</v>
      </c>
      <c r="F106">
        <v>0</v>
      </c>
      <c r="G106">
        <v>0</v>
      </c>
      <c r="H106">
        <v>0</v>
      </c>
      <c r="K106">
        <f>$AF$30</f>
        <v>2.5</v>
      </c>
      <c r="M106">
        <f>$AF$58</f>
        <v>0.55000000000000004</v>
      </c>
      <c r="N106">
        <f t="shared" si="29"/>
        <v>0.43585000000000007</v>
      </c>
      <c r="P106">
        <f>$AF$85</f>
        <v>55</v>
      </c>
      <c r="Q106">
        <f t="shared" si="35"/>
        <v>0.95969823125361531</v>
      </c>
      <c r="R106">
        <f t="shared" si="30"/>
        <v>0.99999627334682795</v>
      </c>
      <c r="S106">
        <v>1</v>
      </c>
      <c r="T106">
        <f t="shared" si="31"/>
        <v>0.95969465479115756</v>
      </c>
      <c r="U106">
        <v>60</v>
      </c>
      <c r="V106">
        <f t="shared" si="32"/>
        <v>1.9622259510073764E-2</v>
      </c>
      <c r="X106">
        <f t="shared" si="33"/>
        <v>91.25</v>
      </c>
      <c r="Y106">
        <f t="shared" si="34"/>
        <v>107.43187081765385</v>
      </c>
    </row>
    <row r="107" spans="1:26" x14ac:dyDescent="0.2">
      <c r="D107" t="s">
        <v>82</v>
      </c>
      <c r="F107">
        <v>0</v>
      </c>
      <c r="G107">
        <v>0</v>
      </c>
      <c r="H107">
        <v>0</v>
      </c>
      <c r="K107">
        <f>$AF$31</f>
        <v>1.3</v>
      </c>
      <c r="M107">
        <f>$AF$59</f>
        <v>0.67</v>
      </c>
      <c r="N107">
        <f t="shared" si="29"/>
        <v>0.53125000000000011</v>
      </c>
      <c r="P107">
        <f>$AF$86</f>
        <v>50</v>
      </c>
      <c r="Q107">
        <f t="shared" si="35"/>
        <v>1.052440031254225</v>
      </c>
      <c r="R107">
        <f t="shared" si="30"/>
        <v>0.96595254526540064</v>
      </c>
      <c r="S107">
        <v>1</v>
      </c>
      <c r="T107">
        <f t="shared" si="31"/>
        <v>1.0166071269292165</v>
      </c>
      <c r="U107">
        <v>55</v>
      </c>
      <c r="V107">
        <f t="shared" si="32"/>
        <v>2.0692213986269272E-2</v>
      </c>
      <c r="X107">
        <f t="shared" si="33"/>
        <v>91.25</v>
      </c>
      <c r="Y107">
        <f t="shared" si="34"/>
        <v>103.8490489435889</v>
      </c>
    </row>
    <row r="108" spans="1:26" x14ac:dyDescent="0.2">
      <c r="D108" t="s">
        <v>83</v>
      </c>
      <c r="F108">
        <v>0</v>
      </c>
      <c r="G108">
        <v>0</v>
      </c>
      <c r="H108">
        <v>0</v>
      </c>
      <c r="K108">
        <f>$AF$32</f>
        <v>0.8</v>
      </c>
      <c r="M108">
        <f>$AF$60</f>
        <v>0.7</v>
      </c>
      <c r="N108">
        <f t="shared" si="29"/>
        <v>0.55510000000000004</v>
      </c>
      <c r="P108">
        <f>$AF$87</f>
        <v>45</v>
      </c>
      <c r="Q108">
        <f t="shared" si="35"/>
        <v>0.98919258792655118</v>
      </c>
      <c r="R108">
        <f t="shared" si="30"/>
        <v>0.72196269954680592</v>
      </c>
      <c r="S108">
        <v>1</v>
      </c>
      <c r="T108">
        <f t="shared" si="31"/>
        <v>0.71416015115114406</v>
      </c>
      <c r="U108">
        <v>55</v>
      </c>
      <c r="V108">
        <f t="shared" si="32"/>
        <v>1.5006210841641509E-2</v>
      </c>
      <c r="X108">
        <f t="shared" si="33"/>
        <v>91.25</v>
      </c>
      <c r="Y108">
        <f t="shared" si="34"/>
        <v>75.312420661488332</v>
      </c>
    </row>
    <row r="109" spans="1:26" x14ac:dyDescent="0.2">
      <c r="A109">
        <v>3</v>
      </c>
      <c r="C109" t="s">
        <v>74</v>
      </c>
      <c r="D109" t="s">
        <v>80</v>
      </c>
      <c r="F109">
        <v>92</v>
      </c>
      <c r="G109">
        <v>87</v>
      </c>
      <c r="H109">
        <f>(F109/100*MIN(G109,100)/100)</f>
        <v>0.80040000000000011</v>
      </c>
      <c r="I109">
        <f>$AE$3</f>
        <v>1.3</v>
      </c>
      <c r="K109">
        <f>$AG$29</f>
        <v>2.5</v>
      </c>
      <c r="M109">
        <f>$AG$57</f>
        <v>0.75</v>
      </c>
      <c r="N109">
        <f t="shared" si="29"/>
        <v>0.5948500000000001</v>
      </c>
      <c r="P109">
        <f>$AG$84</f>
        <v>45</v>
      </c>
      <c r="Q109">
        <f>(104.7 * N109 + 0.307 * P109- 15) * POWER(P109, 0.75) * 10^-3</f>
        <v>1.0615017285371116</v>
      </c>
      <c r="R109">
        <f t="shared" si="30"/>
        <v>0.99999627334682795</v>
      </c>
      <c r="S109">
        <f>(H109 * I109) + (1 - H109)</f>
        <v>1.2401200000000001</v>
      </c>
      <c r="T109">
        <f t="shared" si="31"/>
        <v>1.3163846178662491</v>
      </c>
      <c r="U109">
        <v>60</v>
      </c>
      <c r="V109">
        <f t="shared" si="32"/>
        <v>2.6328030815885483E-2</v>
      </c>
      <c r="X109">
        <f t="shared" si="33"/>
        <v>91.25</v>
      </c>
      <c r="Y109">
        <f t="shared" si="34"/>
        <v>144.14596871697302</v>
      </c>
    </row>
    <row r="110" spans="1:26" x14ac:dyDescent="0.2">
      <c r="D110" t="s">
        <v>81</v>
      </c>
      <c r="F110">
        <v>0</v>
      </c>
      <c r="G110">
        <v>0</v>
      </c>
      <c r="H110">
        <f>(F110/100*MIN(G110,100)/100)</f>
        <v>0</v>
      </c>
      <c r="K110">
        <f>$AG$30</f>
        <v>2.5</v>
      </c>
      <c r="M110">
        <f>$AG$58</f>
        <v>0.55000000000000004</v>
      </c>
      <c r="N110">
        <f t="shared" si="29"/>
        <v>0.43585000000000007</v>
      </c>
      <c r="P110">
        <f>$AG$85</f>
        <v>45</v>
      </c>
      <c r="Q110">
        <f t="shared" ref="Q110:Q124" si="36">(104.7 * N110 + 0.307 * P110- 15) * POWER(P110, 0.75) * 10^-3</f>
        <v>0.77226516609487061</v>
      </c>
      <c r="R110">
        <f t="shared" si="30"/>
        <v>0.99999627334682795</v>
      </c>
      <c r="S110">
        <f t="shared" ref="S110:S116" si="37">(H110 * I110) + (1 - H110)</f>
        <v>1</v>
      </c>
      <c r="T110">
        <f t="shared" si="31"/>
        <v>0.77226228813043973</v>
      </c>
      <c r="U110">
        <v>70</v>
      </c>
      <c r="V110">
        <f t="shared" si="32"/>
        <v>1.6098531016852269E-2</v>
      </c>
      <c r="X110">
        <f t="shared" si="33"/>
        <v>91.25</v>
      </c>
      <c r="Y110">
        <f t="shared" si="34"/>
        <v>102.82936687014387</v>
      </c>
    </row>
    <row r="111" spans="1:26" x14ac:dyDescent="0.2">
      <c r="D111" t="s">
        <v>82</v>
      </c>
      <c r="F111">
        <v>0</v>
      </c>
      <c r="G111">
        <v>0</v>
      </c>
      <c r="H111">
        <f t="shared" ref="H111:H113" si="38">(F111/100*MIN(G111,100)/100)</f>
        <v>0</v>
      </c>
      <c r="K111">
        <f>$AG$31</f>
        <v>1.3</v>
      </c>
      <c r="M111">
        <f>$AG$59</f>
        <v>0.67</v>
      </c>
      <c r="N111">
        <f t="shared" si="29"/>
        <v>0.53125000000000011</v>
      </c>
      <c r="P111">
        <f>$AG$86</f>
        <v>45</v>
      </c>
      <c r="Q111">
        <f t="shared" si="36"/>
        <v>0.94580710356021536</v>
      </c>
      <c r="R111">
        <f t="shared" si="30"/>
        <v>0.96595254526540064</v>
      </c>
      <c r="S111">
        <f t="shared" si="37"/>
        <v>1</v>
      </c>
      <c r="T111">
        <f t="shared" si="31"/>
        <v>0.91360477901408643</v>
      </c>
      <c r="U111">
        <v>60</v>
      </c>
      <c r="V111">
        <f t="shared" si="32"/>
        <v>1.8755769845464829E-2</v>
      </c>
      <c r="X111">
        <f t="shared" si="33"/>
        <v>91.25</v>
      </c>
      <c r="Y111">
        <f t="shared" si="34"/>
        <v>102.68783990391994</v>
      </c>
    </row>
    <row r="112" spans="1:26" x14ac:dyDescent="0.2">
      <c r="D112" t="s">
        <v>83</v>
      </c>
      <c r="F112">
        <v>0</v>
      </c>
      <c r="G112">
        <v>0</v>
      </c>
      <c r="H112">
        <f t="shared" si="38"/>
        <v>0</v>
      </c>
      <c r="K112">
        <f>$AG$32</f>
        <v>0.8</v>
      </c>
      <c r="M112">
        <f>$AG$60</f>
        <v>0.7</v>
      </c>
      <c r="N112">
        <f t="shared" si="29"/>
        <v>0.55510000000000004</v>
      </c>
      <c r="P112">
        <f>$AG$87</f>
        <v>50</v>
      </c>
      <c r="Q112">
        <f t="shared" si="36"/>
        <v>1.0993929471578776</v>
      </c>
      <c r="R112">
        <f t="shared" si="30"/>
        <v>0.72196269954680592</v>
      </c>
      <c r="S112">
        <f t="shared" si="37"/>
        <v>1</v>
      </c>
      <c r="T112">
        <f t="shared" si="31"/>
        <v>0.79372069999282024</v>
      </c>
      <c r="U112">
        <v>50</v>
      </c>
      <c r="V112">
        <f t="shared" si="32"/>
        <v>1.6501949159865022E-2</v>
      </c>
      <c r="X112">
        <f t="shared" si="33"/>
        <v>91.25</v>
      </c>
      <c r="Y112">
        <f t="shared" si="34"/>
        <v>75.290143041884164</v>
      </c>
    </row>
    <row r="113" spans="1:25" x14ac:dyDescent="0.2">
      <c r="A113">
        <v>4</v>
      </c>
      <c r="C113" t="s">
        <v>75</v>
      </c>
      <c r="D113" t="s">
        <v>80</v>
      </c>
      <c r="F113">
        <v>95</v>
      </c>
      <c r="G113">
        <v>88</v>
      </c>
      <c r="H113">
        <f t="shared" si="38"/>
        <v>0.83599999999999997</v>
      </c>
      <c r="I113">
        <f>$AE$3</f>
        <v>1.3</v>
      </c>
      <c r="K113">
        <f>$AH$29</f>
        <v>2.5</v>
      </c>
      <c r="M113">
        <f>$AH$57</f>
        <v>0.75</v>
      </c>
      <c r="N113">
        <f t="shared" si="29"/>
        <v>0.5948500000000001</v>
      </c>
      <c r="P113">
        <f>$AH$84</f>
        <v>50</v>
      </c>
      <c r="Q113">
        <f t="shared" si="36"/>
        <v>1.1776478069972991</v>
      </c>
      <c r="R113">
        <f t="shared" si="30"/>
        <v>0.99999627334682795</v>
      </c>
      <c r="S113">
        <f t="shared" si="37"/>
        <v>1.2507999999999999</v>
      </c>
      <c r="T113">
        <f t="shared" si="31"/>
        <v>1.4729963876251044</v>
      </c>
      <c r="U113">
        <v>40</v>
      </c>
      <c r="V113">
        <f t="shared" si="32"/>
        <v>2.9272332087351968E-2</v>
      </c>
      <c r="X113">
        <f t="shared" si="33"/>
        <v>91.25</v>
      </c>
      <c r="Y113">
        <f t="shared" si="34"/>
        <v>106.84401211883467</v>
      </c>
    </row>
    <row r="114" spans="1:25" x14ac:dyDescent="0.2">
      <c r="D114" t="s">
        <v>81</v>
      </c>
      <c r="F114">
        <v>0</v>
      </c>
      <c r="G114">
        <v>0</v>
      </c>
      <c r="H114">
        <v>0</v>
      </c>
      <c r="K114">
        <f>$AH$30</f>
        <v>2.5</v>
      </c>
      <c r="M114">
        <f>$AH$58</f>
        <v>0.55000000000000004</v>
      </c>
      <c r="N114">
        <f t="shared" si="29"/>
        <v>0.43585000000000007</v>
      </c>
      <c r="P114">
        <f>$AH$85</f>
        <v>50</v>
      </c>
      <c r="Q114">
        <f t="shared" si="36"/>
        <v>0.8646283676396137</v>
      </c>
      <c r="R114">
        <f t="shared" si="30"/>
        <v>0.99999627334682795</v>
      </c>
      <c r="S114">
        <f t="shared" si="37"/>
        <v>1</v>
      </c>
      <c r="T114">
        <f t="shared" si="31"/>
        <v>0.86462514546956482</v>
      </c>
      <c r="U114">
        <v>45</v>
      </c>
      <c r="V114">
        <f t="shared" si="32"/>
        <v>1.7834952734827821E-2</v>
      </c>
      <c r="X114">
        <f t="shared" si="33"/>
        <v>91.25</v>
      </c>
      <c r="Y114">
        <f t="shared" si="34"/>
        <v>73.234774667386745</v>
      </c>
    </row>
    <row r="115" spans="1:25" x14ac:dyDescent="0.2">
      <c r="D115" t="s">
        <v>82</v>
      </c>
      <c r="F115">
        <v>0</v>
      </c>
      <c r="G115">
        <v>0</v>
      </c>
      <c r="H115">
        <v>0</v>
      </c>
      <c r="K115">
        <f>$AH$31</f>
        <v>1.3</v>
      </c>
      <c r="M115">
        <f>$AH$59</f>
        <v>0.67</v>
      </c>
      <c r="N115">
        <f t="shared" si="29"/>
        <v>0.53125000000000011</v>
      </c>
      <c r="P115">
        <f>$AH$86</f>
        <v>50</v>
      </c>
      <c r="Q115">
        <f t="shared" si="36"/>
        <v>1.052440031254225</v>
      </c>
      <c r="R115">
        <f t="shared" si="30"/>
        <v>0.96595254526540064</v>
      </c>
      <c r="S115">
        <f t="shared" si="37"/>
        <v>1</v>
      </c>
      <c r="T115">
        <f t="shared" si="31"/>
        <v>1.0166071269292165</v>
      </c>
      <c r="U115">
        <v>40</v>
      </c>
      <c r="V115">
        <f t="shared" si="32"/>
        <v>2.0692213986269272E-2</v>
      </c>
      <c r="X115">
        <f t="shared" si="33"/>
        <v>91.25</v>
      </c>
      <c r="Y115">
        <f t="shared" si="34"/>
        <v>75.52658104988285</v>
      </c>
    </row>
    <row r="116" spans="1:25" x14ac:dyDescent="0.2">
      <c r="D116" t="s">
        <v>83</v>
      </c>
      <c r="F116">
        <v>0</v>
      </c>
      <c r="G116">
        <v>0</v>
      </c>
      <c r="H116">
        <v>0</v>
      </c>
      <c r="K116">
        <f>$AH$32</f>
        <v>0.8</v>
      </c>
      <c r="M116">
        <f>$AH$60</f>
        <v>0.7</v>
      </c>
      <c r="N116">
        <f t="shared" si="29"/>
        <v>0.55510000000000004</v>
      </c>
      <c r="P116">
        <f>$AH$87</f>
        <v>55</v>
      </c>
      <c r="Q116">
        <f t="shared" si="36"/>
        <v>1.2118587484135388</v>
      </c>
      <c r="R116">
        <f t="shared" si="30"/>
        <v>0.72196269954680592</v>
      </c>
      <c r="S116">
        <f t="shared" si="37"/>
        <v>1</v>
      </c>
      <c r="T116">
        <f t="shared" si="31"/>
        <v>0.87491681347405192</v>
      </c>
      <c r="U116">
        <v>35</v>
      </c>
      <c r="V116">
        <f t="shared" si="32"/>
        <v>1.8028436093312179E-2</v>
      </c>
      <c r="X116">
        <f t="shared" si="33"/>
        <v>91.25</v>
      </c>
      <c r="Y116">
        <f t="shared" si="34"/>
        <v>57.578317773015769</v>
      </c>
    </row>
    <row r="117" spans="1:25" x14ac:dyDescent="0.2">
      <c r="A117">
        <v>5</v>
      </c>
      <c r="C117" t="s">
        <v>76</v>
      </c>
      <c r="D117" t="s">
        <v>80</v>
      </c>
      <c r="F117">
        <v>0</v>
      </c>
      <c r="G117">
        <v>0</v>
      </c>
      <c r="H117">
        <v>0</v>
      </c>
      <c r="K117">
        <f>$AI$29</f>
        <v>2.5</v>
      </c>
      <c r="M117">
        <f>$AI$57</f>
        <v>0.75</v>
      </c>
      <c r="N117">
        <f t="shared" si="29"/>
        <v>0.5948500000000001</v>
      </c>
      <c r="P117">
        <f>$AI$84</f>
        <v>50</v>
      </c>
      <c r="Q117">
        <f t="shared" si="36"/>
        <v>1.1776478069972991</v>
      </c>
      <c r="R117">
        <f t="shared" si="30"/>
        <v>0.99999627334682795</v>
      </c>
      <c r="S117">
        <v>1</v>
      </c>
      <c r="T117">
        <f t="shared" si="31"/>
        <v>1.1776434183123636</v>
      </c>
      <c r="U117">
        <v>25</v>
      </c>
      <c r="V117">
        <f t="shared" si="32"/>
        <v>2.3719696264272439E-2</v>
      </c>
      <c r="X117">
        <f t="shared" si="33"/>
        <v>91.25</v>
      </c>
      <c r="Y117">
        <f t="shared" si="34"/>
        <v>54.110557102871503</v>
      </c>
    </row>
    <row r="118" spans="1:25" x14ac:dyDescent="0.2">
      <c r="D118" t="s">
        <v>81</v>
      </c>
      <c r="F118">
        <v>0</v>
      </c>
      <c r="G118">
        <v>0</v>
      </c>
      <c r="H118">
        <v>0</v>
      </c>
      <c r="K118">
        <f>$AI$30</f>
        <v>2.5</v>
      </c>
      <c r="M118">
        <f>$AI$58</f>
        <v>0.55000000000000004</v>
      </c>
      <c r="N118">
        <f t="shared" si="29"/>
        <v>0.43585000000000007</v>
      </c>
      <c r="P118">
        <f>$AI$85</f>
        <v>50</v>
      </c>
      <c r="Q118">
        <f t="shared" si="36"/>
        <v>0.8646283676396137</v>
      </c>
      <c r="R118">
        <f t="shared" si="30"/>
        <v>0.99999627334682795</v>
      </c>
      <c r="S118">
        <v>1</v>
      </c>
      <c r="T118">
        <f t="shared" si="31"/>
        <v>0.86462514546956482</v>
      </c>
      <c r="U118">
        <v>30</v>
      </c>
      <c r="V118">
        <f t="shared" si="32"/>
        <v>1.7834952734827821E-2</v>
      </c>
      <c r="X118">
        <f t="shared" si="33"/>
        <v>91.25</v>
      </c>
      <c r="Y118">
        <f t="shared" si="34"/>
        <v>48.823183111591163</v>
      </c>
    </row>
    <row r="119" spans="1:25" x14ac:dyDescent="0.2">
      <c r="D119" t="s">
        <v>82</v>
      </c>
      <c r="F119">
        <v>0</v>
      </c>
      <c r="G119">
        <v>0</v>
      </c>
      <c r="H119">
        <v>0</v>
      </c>
      <c r="K119">
        <f>$AI$31</f>
        <v>1.3</v>
      </c>
      <c r="M119">
        <f>$AI$59</f>
        <v>0.67</v>
      </c>
      <c r="N119">
        <f t="shared" si="29"/>
        <v>0.53125000000000011</v>
      </c>
      <c r="P119">
        <f>$AI$86</f>
        <v>50</v>
      </c>
      <c r="Q119">
        <f t="shared" si="36"/>
        <v>1.052440031254225</v>
      </c>
      <c r="R119">
        <f t="shared" si="30"/>
        <v>0.96595254526540064</v>
      </c>
      <c r="S119">
        <v>1</v>
      </c>
      <c r="T119">
        <f t="shared" si="31"/>
        <v>1.0166071269292165</v>
      </c>
      <c r="U119">
        <v>25</v>
      </c>
      <c r="V119">
        <f t="shared" si="32"/>
        <v>2.0692213986269272E-2</v>
      </c>
      <c r="X119">
        <f t="shared" si="33"/>
        <v>91.25</v>
      </c>
      <c r="Y119">
        <f t="shared" si="34"/>
        <v>47.204113156176774</v>
      </c>
    </row>
    <row r="120" spans="1:25" x14ac:dyDescent="0.2">
      <c r="D120" t="s">
        <v>83</v>
      </c>
      <c r="F120">
        <v>0</v>
      </c>
      <c r="G120">
        <v>0</v>
      </c>
      <c r="H120">
        <v>0</v>
      </c>
      <c r="K120">
        <f>$AI$32</f>
        <v>0.8</v>
      </c>
      <c r="M120">
        <f>$AI$60</f>
        <v>0.7</v>
      </c>
      <c r="N120">
        <f t="shared" si="29"/>
        <v>0.55510000000000004</v>
      </c>
      <c r="P120">
        <f>$AI$87</f>
        <v>50</v>
      </c>
      <c r="Q120">
        <f t="shared" si="36"/>
        <v>1.0993929471578776</v>
      </c>
      <c r="R120">
        <f t="shared" si="30"/>
        <v>0.72196269954680592</v>
      </c>
      <c r="S120">
        <v>1</v>
      </c>
      <c r="T120">
        <f t="shared" si="31"/>
        <v>0.79372069999282024</v>
      </c>
      <c r="U120">
        <v>20</v>
      </c>
      <c r="V120">
        <f t="shared" si="32"/>
        <v>1.6501949159865022E-2</v>
      </c>
      <c r="X120">
        <f t="shared" si="33"/>
        <v>91.25</v>
      </c>
      <c r="Y120">
        <f t="shared" si="34"/>
        <v>30.116057216753667</v>
      </c>
    </row>
    <row r="121" spans="1:25" x14ac:dyDescent="0.2">
      <c r="A121">
        <v>6</v>
      </c>
      <c r="C121" t="s">
        <v>77</v>
      </c>
      <c r="D121" t="s">
        <v>80</v>
      </c>
      <c r="F121">
        <v>0</v>
      </c>
      <c r="G121">
        <v>0</v>
      </c>
      <c r="H121">
        <v>0</v>
      </c>
      <c r="K121">
        <f>$AJ$29</f>
        <v>2.5</v>
      </c>
      <c r="M121">
        <f>$AJ$57</f>
        <v>0.75</v>
      </c>
      <c r="N121">
        <f t="shared" si="29"/>
        <v>0.5948500000000001</v>
      </c>
      <c r="P121">
        <f>$AJ$84</f>
        <v>14</v>
      </c>
      <c r="Q121">
        <f t="shared" si="36"/>
        <v>0.3733079325984448</v>
      </c>
      <c r="R121">
        <f t="shared" si="30"/>
        <v>0.99999627334682795</v>
      </c>
      <c r="S121">
        <v>1</v>
      </c>
      <c r="T121">
        <f t="shared" si="31"/>
        <v>0.37330654140925362</v>
      </c>
      <c r="U121">
        <v>15</v>
      </c>
      <c r="V121">
        <f t="shared" si="32"/>
        <v>8.5981629784939693E-3</v>
      </c>
      <c r="X121">
        <f t="shared" si="33"/>
        <v>91.25</v>
      </c>
      <c r="Y121">
        <f t="shared" si="34"/>
        <v>11.76873557681362</v>
      </c>
    </row>
    <row r="122" spans="1:25" x14ac:dyDescent="0.2">
      <c r="D122" t="s">
        <v>81</v>
      </c>
      <c r="F122">
        <v>0</v>
      </c>
      <c r="G122">
        <v>0</v>
      </c>
      <c r="H122">
        <v>0</v>
      </c>
      <c r="K122">
        <f>$AJ$30</f>
        <v>2.5</v>
      </c>
      <c r="M122">
        <f>$AJ$58</f>
        <v>0.55000000000000004</v>
      </c>
      <c r="N122">
        <f t="shared" si="29"/>
        <v>0.43585000000000007</v>
      </c>
      <c r="P122">
        <f>$AJ$85</f>
        <v>24</v>
      </c>
      <c r="Q122">
        <f t="shared" si="36"/>
        <v>0.41205872426603418</v>
      </c>
      <c r="R122">
        <f t="shared" si="30"/>
        <v>0.99999627334682795</v>
      </c>
      <c r="S122">
        <v>1</v>
      </c>
      <c r="T122">
        <f t="shared" si="31"/>
        <v>0.41205718866608232</v>
      </c>
      <c r="U122">
        <v>45</v>
      </c>
      <c r="V122">
        <f t="shared" si="32"/>
        <v>9.3266751469223488E-3</v>
      </c>
      <c r="X122">
        <f t="shared" si="33"/>
        <v>91.25</v>
      </c>
      <c r="Y122">
        <f t="shared" si="34"/>
        <v>38.297659822049894</v>
      </c>
    </row>
    <row r="123" spans="1:25" x14ac:dyDescent="0.2">
      <c r="D123" t="s">
        <v>82</v>
      </c>
      <c r="F123">
        <v>0</v>
      </c>
      <c r="G123">
        <v>0</v>
      </c>
      <c r="H123">
        <v>0</v>
      </c>
      <c r="K123">
        <f>$AJ$31</f>
        <v>1.3</v>
      </c>
      <c r="M123">
        <f>$AJ$59</f>
        <v>0.67</v>
      </c>
      <c r="N123">
        <f t="shared" si="29"/>
        <v>0.53125000000000011</v>
      </c>
      <c r="P123">
        <f>$AJ$86</f>
        <v>36</v>
      </c>
      <c r="Q123">
        <f t="shared" si="36"/>
        <v>0.75944776069416087</v>
      </c>
      <c r="R123">
        <f t="shared" si="30"/>
        <v>0.96595254526540064</v>
      </c>
      <c r="S123">
        <v>1</v>
      </c>
      <c r="T123">
        <f t="shared" si="31"/>
        <v>0.73359049743863358</v>
      </c>
      <c r="U123">
        <v>40</v>
      </c>
      <c r="V123">
        <f t="shared" si="32"/>
        <v>1.5371501351846312E-2</v>
      </c>
      <c r="X123">
        <f t="shared" si="33"/>
        <v>91.25</v>
      </c>
      <c r="Y123">
        <f t="shared" si="34"/>
        <v>56.105979934239038</v>
      </c>
    </row>
    <row r="124" spans="1:25" x14ac:dyDescent="0.2">
      <c r="D124" t="s">
        <v>83</v>
      </c>
      <c r="F124">
        <v>0</v>
      </c>
      <c r="G124">
        <v>0</v>
      </c>
      <c r="H124">
        <v>0</v>
      </c>
      <c r="K124">
        <f>$AJ$32</f>
        <v>0.8</v>
      </c>
      <c r="M124">
        <f>$AJ$60</f>
        <v>0.7</v>
      </c>
      <c r="N124">
        <f t="shared" si="29"/>
        <v>0.55510000000000004</v>
      </c>
      <c r="P124">
        <f>$AJ$87</f>
        <v>42</v>
      </c>
      <c r="Q124">
        <f t="shared" si="36"/>
        <v>0.92411404077093851</v>
      </c>
      <c r="R124">
        <f t="shared" si="30"/>
        <v>0.72196269954680592</v>
      </c>
      <c r="S124">
        <v>1</v>
      </c>
      <c r="T124">
        <f t="shared" si="31"/>
        <v>0.66717586756409386</v>
      </c>
      <c r="U124">
        <v>30</v>
      </c>
      <c r="V124">
        <f t="shared" si="32"/>
        <v>1.4122906310204965E-2</v>
      </c>
      <c r="X124">
        <f t="shared" si="33"/>
        <v>91.25</v>
      </c>
      <c r="Y124">
        <f t="shared" si="34"/>
        <v>38.661456024186094</v>
      </c>
    </row>
    <row r="131" spans="1:26" x14ac:dyDescent="0.2">
      <c r="A131" t="s">
        <v>104</v>
      </c>
      <c r="B131" t="s">
        <v>105</v>
      </c>
      <c r="C131" t="s">
        <v>72</v>
      </c>
      <c r="D131" t="s">
        <v>80</v>
      </c>
      <c r="F131">
        <v>0</v>
      </c>
      <c r="G131">
        <v>0</v>
      </c>
      <c r="H131">
        <v>0</v>
      </c>
      <c r="K131">
        <f>$AE$33</f>
        <v>3.2</v>
      </c>
      <c r="M131">
        <f>$AE$61</f>
        <v>0.7</v>
      </c>
      <c r="N131">
        <f>(0.795 * M131) - 0.0014</f>
        <v>0.55510000000000004</v>
      </c>
      <c r="P131">
        <f>$AE$88</f>
        <v>70</v>
      </c>
      <c r="Q131">
        <f>(104.7 * N131 + 0.307 * P131- 15) * POWER(P131, 0.75) * 10^-3</f>
        <v>1.5635664662315347</v>
      </c>
      <c r="R131">
        <f>1-EXP(-2*POWER(K131,2))</f>
        <v>0.99999999872459233</v>
      </c>
      <c r="S131">
        <v>1</v>
      </c>
      <c r="T131">
        <f>Q131 * R131 * S131</f>
        <v>1.5635664642373501</v>
      </c>
      <c r="U131">
        <v>25</v>
      </c>
      <c r="V131">
        <f>(T131 * 0.0188) + 0.00158</f>
        <v>3.0975049527662186E-2</v>
      </c>
      <c r="X131">
        <f>$AE$4</f>
        <v>91.25</v>
      </c>
      <c r="Y131">
        <f>U131*V131*X131</f>
        <v>70.661831734979359</v>
      </c>
      <c r="Z131">
        <f>SUM(Y131:Y154)*10^-3</f>
        <v>1.6673196768701513</v>
      </c>
    </row>
    <row r="132" spans="1:26" x14ac:dyDescent="0.2">
      <c r="D132" t="s">
        <v>81</v>
      </c>
      <c r="F132">
        <v>0</v>
      </c>
      <c r="G132">
        <v>0</v>
      </c>
      <c r="H132">
        <v>0</v>
      </c>
      <c r="K132">
        <f>$AE$34</f>
        <v>3</v>
      </c>
      <c r="M132">
        <f>$AE$62</f>
        <v>0.55000000000000004</v>
      </c>
      <c r="N132">
        <f t="shared" ref="N132:N154" si="39">(0.795 * M132) - 0.0014</f>
        <v>0.43585000000000007</v>
      </c>
      <c r="P132">
        <f>$AE$89</f>
        <v>65</v>
      </c>
      <c r="Q132">
        <f>(104.7 * N132 + 0.307 * P132- 15) * POWER(P132, 0.75) * 10^-3</f>
        <v>1.1580752413958724</v>
      </c>
      <c r="R132">
        <f t="shared" ref="R132:R154" si="40">1-EXP(-2*POWER(K132,2))</f>
        <v>0.99999998477002028</v>
      </c>
      <c r="S132">
        <v>1</v>
      </c>
      <c r="T132">
        <f t="shared" ref="T132:T154" si="41">Q132 * R132 * S132</f>
        <v>1.15807522375841</v>
      </c>
      <c r="U132">
        <v>20</v>
      </c>
      <c r="V132">
        <f t="shared" ref="V132:V154" si="42">(T132 * 0.0188) + 0.00158</f>
        <v>2.3351814206658109E-2</v>
      </c>
      <c r="X132">
        <f t="shared" ref="X132:X154" si="43">$AE$4</f>
        <v>91.25</v>
      </c>
      <c r="Y132">
        <f t="shared" ref="Y132:Y154" si="44">U132*V132*X132</f>
        <v>42.617060927151051</v>
      </c>
    </row>
    <row r="133" spans="1:26" x14ac:dyDescent="0.2">
      <c r="D133" t="s">
        <v>82</v>
      </c>
      <c r="F133">
        <v>0</v>
      </c>
      <c r="G133">
        <v>0</v>
      </c>
      <c r="H133">
        <v>0</v>
      </c>
      <c r="K133">
        <f>$AE$35</f>
        <v>1.8</v>
      </c>
      <c r="M133">
        <f>$AE$63</f>
        <v>0.65</v>
      </c>
      <c r="N133">
        <f t="shared" si="39"/>
        <v>0.51535000000000009</v>
      </c>
      <c r="P133">
        <f>$AE$90</f>
        <v>65</v>
      </c>
      <c r="Q133">
        <f t="shared" ref="Q133:Q138" si="45">(104.7 * N133 + 0.307 * P133- 15) * POWER(P133, 0.75) * 10^-3</f>
        <v>1.3486207988995054</v>
      </c>
      <c r="R133">
        <f t="shared" si="40"/>
        <v>0.99846618932067555</v>
      </c>
      <c r="S133">
        <v>1</v>
      </c>
      <c r="T133">
        <f t="shared" si="41"/>
        <v>1.3465522699157941</v>
      </c>
      <c r="U133">
        <v>19</v>
      </c>
      <c r="V133">
        <f t="shared" si="42"/>
        <v>2.6895182674416932E-2</v>
      </c>
      <c r="X133">
        <f t="shared" si="43"/>
        <v>91.25</v>
      </c>
      <c r="Y133">
        <f t="shared" si="44"/>
        <v>46.629522961770363</v>
      </c>
    </row>
    <row r="134" spans="1:26" x14ac:dyDescent="0.2">
      <c r="D134" t="s">
        <v>83</v>
      </c>
      <c r="F134">
        <v>0</v>
      </c>
      <c r="G134">
        <v>0</v>
      </c>
      <c r="H134">
        <v>0</v>
      </c>
      <c r="K134">
        <f>$AE$36</f>
        <v>1</v>
      </c>
      <c r="M134">
        <f>$AE$64</f>
        <v>0.6</v>
      </c>
      <c r="N134">
        <f t="shared" si="39"/>
        <v>0.47559999999999997</v>
      </c>
      <c r="P134">
        <f>$AE$91</f>
        <v>60</v>
      </c>
      <c r="Q134">
        <f t="shared" si="45"/>
        <v>1.1472289977258807</v>
      </c>
      <c r="R134">
        <f t="shared" si="40"/>
        <v>0.8646647167633873</v>
      </c>
      <c r="S134">
        <v>1</v>
      </c>
      <c r="T134">
        <f t="shared" si="41"/>
        <v>0.99196843638139331</v>
      </c>
      <c r="U134">
        <v>25</v>
      </c>
      <c r="V134">
        <f t="shared" si="42"/>
        <v>2.0229006603970198E-2</v>
      </c>
      <c r="X134">
        <f t="shared" si="43"/>
        <v>91.25</v>
      </c>
      <c r="Y134">
        <f t="shared" si="44"/>
        <v>46.147421315307014</v>
      </c>
    </row>
    <row r="135" spans="1:26" x14ac:dyDescent="0.2">
      <c r="A135">
        <v>2</v>
      </c>
      <c r="C135" t="s">
        <v>73</v>
      </c>
      <c r="D135" t="s">
        <v>80</v>
      </c>
      <c r="F135">
        <v>0</v>
      </c>
      <c r="G135">
        <v>0</v>
      </c>
      <c r="H135">
        <v>0</v>
      </c>
      <c r="K135">
        <f>$AF$33</f>
        <v>3.2</v>
      </c>
      <c r="M135">
        <f>$AF$61</f>
        <v>0.7</v>
      </c>
      <c r="N135">
        <f t="shared" si="39"/>
        <v>0.55510000000000004</v>
      </c>
      <c r="P135">
        <f>$AF$88</f>
        <v>60</v>
      </c>
      <c r="Q135">
        <f t="shared" si="45"/>
        <v>1.3266722980183725</v>
      </c>
      <c r="R135">
        <f t="shared" si="40"/>
        <v>0.99999999872459233</v>
      </c>
      <c r="S135">
        <v>1</v>
      </c>
      <c r="T135">
        <f t="shared" si="41"/>
        <v>1.3266722963263244</v>
      </c>
      <c r="U135">
        <v>50</v>
      </c>
      <c r="V135">
        <f t="shared" si="42"/>
        <v>2.6521439170934902E-2</v>
      </c>
      <c r="X135">
        <f t="shared" si="43"/>
        <v>91.25</v>
      </c>
      <c r="Y135">
        <f t="shared" si="44"/>
        <v>121.00406621739049</v>
      </c>
    </row>
    <row r="136" spans="1:26" x14ac:dyDescent="0.2">
      <c r="D136" t="s">
        <v>81</v>
      </c>
      <c r="F136">
        <v>0</v>
      </c>
      <c r="G136">
        <v>0</v>
      </c>
      <c r="H136">
        <v>0</v>
      </c>
      <c r="K136">
        <f>$AF$34</f>
        <v>3</v>
      </c>
      <c r="M136">
        <f>$AF$62</f>
        <v>0.55000000000000004</v>
      </c>
      <c r="N136">
        <f t="shared" si="39"/>
        <v>0.43585000000000007</v>
      </c>
      <c r="P136">
        <f>$AF$89</f>
        <v>55</v>
      </c>
      <c r="Q136">
        <f t="shared" si="45"/>
        <v>0.95969823125361531</v>
      </c>
      <c r="R136">
        <f t="shared" si="40"/>
        <v>0.99999998477002028</v>
      </c>
      <c r="S136">
        <v>1</v>
      </c>
      <c r="T136">
        <f t="shared" si="41"/>
        <v>0.95969821663743071</v>
      </c>
      <c r="U136">
        <v>60</v>
      </c>
      <c r="V136">
        <f t="shared" si="42"/>
        <v>1.96223264727837E-2</v>
      </c>
      <c r="X136">
        <f t="shared" si="43"/>
        <v>91.25</v>
      </c>
      <c r="Y136">
        <f t="shared" si="44"/>
        <v>107.43223743849074</v>
      </c>
    </row>
    <row r="137" spans="1:26" x14ac:dyDescent="0.2">
      <c r="D137" t="s">
        <v>82</v>
      </c>
      <c r="F137">
        <v>0</v>
      </c>
      <c r="G137">
        <v>0</v>
      </c>
      <c r="H137">
        <v>0</v>
      </c>
      <c r="K137">
        <f>$AF$35</f>
        <v>1.8</v>
      </c>
      <c r="M137">
        <f>$AF$63</f>
        <v>0.65</v>
      </c>
      <c r="N137">
        <f t="shared" si="39"/>
        <v>0.51535000000000009</v>
      </c>
      <c r="P137">
        <f>$AF$90</f>
        <v>52</v>
      </c>
      <c r="Q137">
        <f t="shared" si="45"/>
        <v>1.0635112555960096</v>
      </c>
      <c r="R137">
        <f t="shared" si="40"/>
        <v>0.99846618932067555</v>
      </c>
      <c r="S137">
        <v>1</v>
      </c>
      <c r="T137">
        <f t="shared" si="41"/>
        <v>1.0618800306745946</v>
      </c>
      <c r="U137">
        <v>55</v>
      </c>
      <c r="V137">
        <f t="shared" si="42"/>
        <v>2.1543344576682381E-2</v>
      </c>
      <c r="X137">
        <f t="shared" si="43"/>
        <v>91.25</v>
      </c>
      <c r="Y137">
        <f t="shared" si="44"/>
        <v>108.1206605942247</v>
      </c>
    </row>
    <row r="138" spans="1:26" x14ac:dyDescent="0.2">
      <c r="D138" t="s">
        <v>83</v>
      </c>
      <c r="F138">
        <v>0</v>
      </c>
      <c r="G138">
        <v>0</v>
      </c>
      <c r="H138">
        <v>0</v>
      </c>
      <c r="K138">
        <f>$AF$36</f>
        <v>1</v>
      </c>
      <c r="M138">
        <f>$AF$64</f>
        <v>0.6</v>
      </c>
      <c r="N138">
        <f t="shared" si="39"/>
        <v>0.47559999999999997</v>
      </c>
      <c r="P138">
        <f>$AF$91</f>
        <v>50</v>
      </c>
      <c r="Q138">
        <f t="shared" si="45"/>
        <v>0.94288322747903475</v>
      </c>
      <c r="R138">
        <f t="shared" si="40"/>
        <v>0.8646647167633873</v>
      </c>
      <c r="S138">
        <v>1</v>
      </c>
      <c r="T138">
        <f t="shared" si="41"/>
        <v>0.81527785882910808</v>
      </c>
      <c r="U138">
        <v>55</v>
      </c>
      <c r="V138">
        <f t="shared" si="42"/>
        <v>1.6907223745987233E-2</v>
      </c>
      <c r="X138">
        <f t="shared" si="43"/>
        <v>91.25</v>
      </c>
      <c r="Y138">
        <f t="shared" si="44"/>
        <v>84.853129175173422</v>
      </c>
    </row>
    <row r="139" spans="1:26" x14ac:dyDescent="0.2">
      <c r="A139">
        <v>3</v>
      </c>
      <c r="C139" t="s">
        <v>74</v>
      </c>
      <c r="D139" t="s">
        <v>80</v>
      </c>
      <c r="F139">
        <v>92</v>
      </c>
      <c r="G139">
        <v>87</v>
      </c>
      <c r="H139">
        <f>(F139/100*MIN(G139,100)/100)</f>
        <v>0.80040000000000011</v>
      </c>
      <c r="I139">
        <f>$AE$3</f>
        <v>1.3</v>
      </c>
      <c r="K139">
        <f>$AG$33</f>
        <v>3.2</v>
      </c>
      <c r="M139">
        <f>$AG$61</f>
        <v>0.7</v>
      </c>
      <c r="N139">
        <f t="shared" si="39"/>
        <v>0.55510000000000004</v>
      </c>
      <c r="P139">
        <f>$AG$88</f>
        <v>50</v>
      </c>
      <c r="Q139">
        <f>(104.7 * N139 + 0.307 * P139- 15) * POWER(P139, 0.75) * 10^-3</f>
        <v>1.0993929471578776</v>
      </c>
      <c r="R139">
        <f t="shared" si="40"/>
        <v>0.99999999872459233</v>
      </c>
      <c r="S139">
        <f>(H139 * I139) + (1 - H139)</f>
        <v>1.2401200000000001</v>
      </c>
      <c r="T139">
        <f t="shared" si="41"/>
        <v>1.363379179890563</v>
      </c>
      <c r="U139">
        <v>60</v>
      </c>
      <c r="V139">
        <f t="shared" si="42"/>
        <v>2.7211528581942587E-2</v>
      </c>
      <c r="X139">
        <f t="shared" si="43"/>
        <v>91.25</v>
      </c>
      <c r="Y139">
        <f t="shared" si="44"/>
        <v>148.98311898613565</v>
      </c>
    </row>
    <row r="140" spans="1:26" x14ac:dyDescent="0.2">
      <c r="D140" t="s">
        <v>81</v>
      </c>
      <c r="F140">
        <v>0</v>
      </c>
      <c r="G140">
        <v>0</v>
      </c>
      <c r="H140">
        <f>(F140/100*MIN(G140,100)/100)</f>
        <v>0</v>
      </c>
      <c r="K140">
        <f>$AG$34</f>
        <v>3</v>
      </c>
      <c r="M140">
        <f>$AG$62</f>
        <v>0.55000000000000004</v>
      </c>
      <c r="N140">
        <f t="shared" si="39"/>
        <v>0.43585000000000007</v>
      </c>
      <c r="P140">
        <f>$AG$89</f>
        <v>45</v>
      </c>
      <c r="Q140">
        <f t="shared" ref="Q140:Q154" si="46">(104.7 * N140 + 0.307 * P140- 15) * POWER(P140, 0.75) * 10^-3</f>
        <v>0.77226516609487061</v>
      </c>
      <c r="R140">
        <f t="shared" si="40"/>
        <v>0.99999998477002028</v>
      </c>
      <c r="S140">
        <f t="shared" ref="S140:S146" si="47">(H140 * I140) + (1 - H140)</f>
        <v>1</v>
      </c>
      <c r="T140">
        <f t="shared" si="41"/>
        <v>0.7722651543332878</v>
      </c>
      <c r="U140">
        <v>70</v>
      </c>
      <c r="V140">
        <f t="shared" si="42"/>
        <v>1.6098584901465811E-2</v>
      </c>
      <c r="X140">
        <f t="shared" si="43"/>
        <v>91.25</v>
      </c>
      <c r="Y140">
        <f t="shared" si="44"/>
        <v>102.82971105811286</v>
      </c>
    </row>
    <row r="141" spans="1:26" x14ac:dyDescent="0.2">
      <c r="D141" t="s">
        <v>82</v>
      </c>
      <c r="F141">
        <v>0</v>
      </c>
      <c r="G141">
        <v>0</v>
      </c>
      <c r="H141">
        <f t="shared" ref="H141:H143" si="48">(F141/100*MIN(G141,100)/100)</f>
        <v>0</v>
      </c>
      <c r="K141">
        <f>$AG$35</f>
        <v>1.8</v>
      </c>
      <c r="M141">
        <f>$AG$63</f>
        <v>0.65</v>
      </c>
      <c r="N141">
        <f t="shared" si="39"/>
        <v>0.51535000000000009</v>
      </c>
      <c r="P141">
        <f>$AG$90</f>
        <v>43</v>
      </c>
      <c r="Q141">
        <f t="shared" si="46"/>
        <v>0.87583738496773078</v>
      </c>
      <c r="R141">
        <f t="shared" si="40"/>
        <v>0.99846618932067555</v>
      </c>
      <c r="S141">
        <f t="shared" si="47"/>
        <v>1</v>
      </c>
      <c r="T141">
        <f t="shared" si="41"/>
        <v>0.87449401623331569</v>
      </c>
      <c r="U141">
        <v>60</v>
      </c>
      <c r="V141">
        <f t="shared" si="42"/>
        <v>1.8020487505186335E-2</v>
      </c>
      <c r="X141">
        <f t="shared" si="43"/>
        <v>91.25</v>
      </c>
      <c r="Y141">
        <f t="shared" si="44"/>
        <v>98.66216909089519</v>
      </c>
    </row>
    <row r="142" spans="1:26" x14ac:dyDescent="0.2">
      <c r="D142" t="s">
        <v>83</v>
      </c>
      <c r="F142">
        <v>0</v>
      </c>
      <c r="G142">
        <v>0</v>
      </c>
      <c r="H142">
        <f t="shared" si="48"/>
        <v>0</v>
      </c>
      <c r="K142">
        <f>$AG$36</f>
        <v>1</v>
      </c>
      <c r="M142">
        <f>$AG$64</f>
        <v>0.6</v>
      </c>
      <c r="N142">
        <f t="shared" si="39"/>
        <v>0.47559999999999997</v>
      </c>
      <c r="P142">
        <f>$AG$91</f>
        <v>40</v>
      </c>
      <c r="Q142">
        <f t="shared" si="46"/>
        <v>0.74875248086684232</v>
      </c>
      <c r="R142">
        <f t="shared" si="40"/>
        <v>0.8646647167633873</v>
      </c>
      <c r="S142">
        <f t="shared" si="47"/>
        <v>1</v>
      </c>
      <c r="T142">
        <f t="shared" si="41"/>
        <v>0.64741985179461181</v>
      </c>
      <c r="U142">
        <v>50</v>
      </c>
      <c r="V142">
        <f t="shared" si="42"/>
        <v>1.3751493213738702E-2</v>
      </c>
      <c r="X142">
        <f t="shared" si="43"/>
        <v>91.25</v>
      </c>
      <c r="Y142">
        <f t="shared" si="44"/>
        <v>62.741187787682826</v>
      </c>
    </row>
    <row r="143" spans="1:26" x14ac:dyDescent="0.2">
      <c r="A143">
        <v>4</v>
      </c>
      <c r="C143" t="s">
        <v>75</v>
      </c>
      <c r="D143" t="s">
        <v>80</v>
      </c>
      <c r="F143">
        <v>95</v>
      </c>
      <c r="G143">
        <v>88</v>
      </c>
      <c r="H143">
        <f t="shared" si="48"/>
        <v>0.83599999999999997</v>
      </c>
      <c r="I143">
        <f>$AE$3</f>
        <v>1.3</v>
      </c>
      <c r="K143">
        <f>$AH$33</f>
        <v>3.2</v>
      </c>
      <c r="M143">
        <f>$AH$61</f>
        <v>0.7</v>
      </c>
      <c r="N143">
        <f t="shared" si="39"/>
        <v>0.55510000000000004</v>
      </c>
      <c r="P143">
        <f>$AH$88</f>
        <v>55</v>
      </c>
      <c r="Q143">
        <f t="shared" si="46"/>
        <v>1.2118587484135388</v>
      </c>
      <c r="R143">
        <f t="shared" si="40"/>
        <v>0.99999999872459233</v>
      </c>
      <c r="S143">
        <f t="shared" si="47"/>
        <v>1.2507999999999999</v>
      </c>
      <c r="T143">
        <f t="shared" si="41"/>
        <v>1.5157929205824003</v>
      </c>
      <c r="U143">
        <v>40</v>
      </c>
      <c r="V143">
        <f t="shared" si="42"/>
        <v>3.0076906906949127E-2</v>
      </c>
      <c r="X143">
        <f t="shared" si="43"/>
        <v>91.25</v>
      </c>
      <c r="Y143">
        <f t="shared" si="44"/>
        <v>109.78071021036432</v>
      </c>
    </row>
    <row r="144" spans="1:26" x14ac:dyDescent="0.2">
      <c r="D144" t="s">
        <v>81</v>
      </c>
      <c r="F144">
        <v>0</v>
      </c>
      <c r="G144">
        <v>0</v>
      </c>
      <c r="H144">
        <v>0</v>
      </c>
      <c r="K144">
        <f>$AH$34</f>
        <v>3</v>
      </c>
      <c r="M144">
        <f>$AH$62</f>
        <v>0.55000000000000004</v>
      </c>
      <c r="N144">
        <f t="shared" si="39"/>
        <v>0.43585000000000007</v>
      </c>
      <c r="P144">
        <f>$AH$89</f>
        <v>50</v>
      </c>
      <c r="Q144">
        <f t="shared" si="46"/>
        <v>0.8646283676396137</v>
      </c>
      <c r="R144">
        <f t="shared" si="40"/>
        <v>0.99999998477002028</v>
      </c>
      <c r="S144">
        <f t="shared" si="47"/>
        <v>1</v>
      </c>
      <c r="T144">
        <f t="shared" si="41"/>
        <v>0.86462835447134123</v>
      </c>
      <c r="U144">
        <v>45</v>
      </c>
      <c r="V144">
        <f t="shared" si="42"/>
        <v>1.7835013064061218E-2</v>
      </c>
      <c r="X144">
        <f t="shared" si="43"/>
        <v>91.25</v>
      </c>
      <c r="Y144">
        <f t="shared" si="44"/>
        <v>73.235022394301382</v>
      </c>
    </row>
    <row r="145" spans="1:25" x14ac:dyDescent="0.2">
      <c r="D145" t="s">
        <v>82</v>
      </c>
      <c r="F145">
        <v>0</v>
      </c>
      <c r="G145">
        <v>0</v>
      </c>
      <c r="H145">
        <v>0</v>
      </c>
      <c r="K145">
        <f>$AH$35</f>
        <v>1.8</v>
      </c>
      <c r="M145">
        <f>$AH$63</f>
        <v>0.65</v>
      </c>
      <c r="N145">
        <f t="shared" si="39"/>
        <v>0.51535000000000009</v>
      </c>
      <c r="P145">
        <f>$AH$90</f>
        <v>48</v>
      </c>
      <c r="Q145">
        <f t="shared" si="46"/>
        <v>0.97915122350076966</v>
      </c>
      <c r="R145">
        <f t="shared" si="40"/>
        <v>0.99846618932067555</v>
      </c>
      <c r="S145">
        <f t="shared" si="47"/>
        <v>1</v>
      </c>
      <c r="T145">
        <f t="shared" si="41"/>
        <v>0.97764939089749059</v>
      </c>
      <c r="U145">
        <v>40</v>
      </c>
      <c r="V145">
        <f t="shared" si="42"/>
        <v>1.9959808548872825E-2</v>
      </c>
      <c r="X145">
        <f t="shared" si="43"/>
        <v>91.25</v>
      </c>
      <c r="Y145">
        <f t="shared" si="44"/>
        <v>72.853301203385811</v>
      </c>
    </row>
    <row r="146" spans="1:25" x14ac:dyDescent="0.2">
      <c r="D146" t="s">
        <v>83</v>
      </c>
      <c r="F146">
        <v>0</v>
      </c>
      <c r="G146">
        <v>0</v>
      </c>
      <c r="H146">
        <v>0</v>
      </c>
      <c r="K146">
        <f>$AH$36</f>
        <v>1</v>
      </c>
      <c r="M146">
        <f>$AH$64</f>
        <v>0.6</v>
      </c>
      <c r="N146">
        <f t="shared" si="39"/>
        <v>0.47559999999999997</v>
      </c>
      <c r="P146">
        <f>$AH$91</f>
        <v>45</v>
      </c>
      <c r="Q146">
        <f t="shared" si="46"/>
        <v>0.84457430670543054</v>
      </c>
      <c r="R146">
        <f t="shared" si="40"/>
        <v>0.8646647167633873</v>
      </c>
      <c r="S146">
        <f t="shared" si="47"/>
        <v>1</v>
      </c>
      <c r="T146">
        <f t="shared" si="41"/>
        <v>0.73027360369308525</v>
      </c>
      <c r="U146">
        <v>35</v>
      </c>
      <c r="V146">
        <f t="shared" si="42"/>
        <v>1.5309143749430003E-2</v>
      </c>
      <c r="X146">
        <f t="shared" si="43"/>
        <v>91.25</v>
      </c>
      <c r="Y146">
        <f t="shared" si="44"/>
        <v>48.893577849742066</v>
      </c>
    </row>
    <row r="147" spans="1:25" x14ac:dyDescent="0.2">
      <c r="A147">
        <v>5</v>
      </c>
      <c r="C147" t="s">
        <v>76</v>
      </c>
      <c r="D147" t="s">
        <v>80</v>
      </c>
      <c r="F147">
        <v>0</v>
      </c>
      <c r="G147">
        <v>0</v>
      </c>
      <c r="H147">
        <v>0</v>
      </c>
      <c r="K147">
        <f>$AI$33</f>
        <v>3.2</v>
      </c>
      <c r="M147">
        <f>$AI$61</f>
        <v>0.7</v>
      </c>
      <c r="N147">
        <f t="shared" si="39"/>
        <v>0.55510000000000004</v>
      </c>
      <c r="P147">
        <f>$AI$88</f>
        <v>50</v>
      </c>
      <c r="Q147">
        <f t="shared" si="46"/>
        <v>1.0993929471578776</v>
      </c>
      <c r="R147">
        <f t="shared" si="40"/>
        <v>0.99999999872459233</v>
      </c>
      <c r="S147">
        <v>1</v>
      </c>
      <c r="T147">
        <f t="shared" si="41"/>
        <v>1.0993929457557035</v>
      </c>
      <c r="U147">
        <v>25</v>
      </c>
      <c r="V147">
        <f t="shared" si="42"/>
        <v>2.2248587380207227E-2</v>
      </c>
      <c r="X147">
        <f t="shared" si="43"/>
        <v>91.25</v>
      </c>
      <c r="Y147">
        <f t="shared" si="44"/>
        <v>50.754589961097736</v>
      </c>
    </row>
    <row r="148" spans="1:25" x14ac:dyDescent="0.2">
      <c r="D148" t="s">
        <v>81</v>
      </c>
      <c r="F148">
        <v>0</v>
      </c>
      <c r="G148">
        <v>0</v>
      </c>
      <c r="H148">
        <v>0</v>
      </c>
      <c r="K148">
        <f>$AI$34</f>
        <v>3</v>
      </c>
      <c r="M148">
        <f>$AI$62</f>
        <v>0.55000000000000004</v>
      </c>
      <c r="N148">
        <f t="shared" si="39"/>
        <v>0.43585000000000007</v>
      </c>
      <c r="P148">
        <f>$AI$89</f>
        <v>50</v>
      </c>
      <c r="Q148">
        <f t="shared" si="46"/>
        <v>0.8646283676396137</v>
      </c>
      <c r="R148">
        <f t="shared" si="40"/>
        <v>0.99999998477002028</v>
      </c>
      <c r="S148">
        <v>1</v>
      </c>
      <c r="T148">
        <f t="shared" si="41"/>
        <v>0.86462835447134123</v>
      </c>
      <c r="U148">
        <v>30</v>
      </c>
      <c r="V148">
        <f t="shared" si="42"/>
        <v>1.7835013064061218E-2</v>
      </c>
      <c r="X148">
        <f t="shared" si="43"/>
        <v>91.25</v>
      </c>
      <c r="Y148">
        <f t="shared" si="44"/>
        <v>48.82334826286759</v>
      </c>
    </row>
    <row r="149" spans="1:25" x14ac:dyDescent="0.2">
      <c r="D149" t="s">
        <v>82</v>
      </c>
      <c r="F149">
        <v>0</v>
      </c>
      <c r="G149">
        <v>0</v>
      </c>
      <c r="H149">
        <v>0</v>
      </c>
      <c r="K149">
        <f>$AI$35</f>
        <v>1.8</v>
      </c>
      <c r="M149">
        <f>$AI$63</f>
        <v>0.65</v>
      </c>
      <c r="N149">
        <f t="shared" si="39"/>
        <v>0.51535000000000009</v>
      </c>
      <c r="P149">
        <f>$AI$90</f>
        <v>50</v>
      </c>
      <c r="Q149">
        <f t="shared" si="46"/>
        <v>1.0211380873184563</v>
      </c>
      <c r="R149">
        <f t="shared" si="40"/>
        <v>0.99846618932067555</v>
      </c>
      <c r="S149">
        <v>1</v>
      </c>
      <c r="T149">
        <f t="shared" si="41"/>
        <v>1.0195718548150623</v>
      </c>
      <c r="U149">
        <v>25</v>
      </c>
      <c r="V149">
        <f t="shared" si="42"/>
        <v>2.0747950870523172E-2</v>
      </c>
      <c r="X149">
        <f t="shared" si="43"/>
        <v>91.25</v>
      </c>
      <c r="Y149">
        <f t="shared" si="44"/>
        <v>47.33126292338099</v>
      </c>
    </row>
    <row r="150" spans="1:25" x14ac:dyDescent="0.2">
      <c r="D150" t="s">
        <v>83</v>
      </c>
      <c r="F150">
        <v>0</v>
      </c>
      <c r="G150">
        <v>0</v>
      </c>
      <c r="H150">
        <v>0</v>
      </c>
      <c r="K150">
        <f>$AI$36</f>
        <v>1</v>
      </c>
      <c r="M150">
        <f>$AI$64</f>
        <v>0.6</v>
      </c>
      <c r="N150">
        <f t="shared" si="39"/>
        <v>0.47559999999999997</v>
      </c>
      <c r="P150">
        <f>$AI$91</f>
        <v>50</v>
      </c>
      <c r="Q150">
        <f t="shared" si="46"/>
        <v>0.94288322747903475</v>
      </c>
      <c r="R150">
        <f t="shared" si="40"/>
        <v>0.8646647167633873</v>
      </c>
      <c r="S150">
        <v>1</v>
      </c>
      <c r="T150">
        <f t="shared" si="41"/>
        <v>0.81527785882910808</v>
      </c>
      <c r="U150">
        <v>20</v>
      </c>
      <c r="V150">
        <f t="shared" si="42"/>
        <v>1.6907223745987233E-2</v>
      </c>
      <c r="X150">
        <f t="shared" si="43"/>
        <v>91.25</v>
      </c>
      <c r="Y150">
        <f t="shared" si="44"/>
        <v>30.855683336426697</v>
      </c>
    </row>
    <row r="151" spans="1:25" x14ac:dyDescent="0.2">
      <c r="A151">
        <v>6</v>
      </c>
      <c r="C151" t="s">
        <v>77</v>
      </c>
      <c r="D151" t="s">
        <v>80</v>
      </c>
      <c r="F151">
        <v>0</v>
      </c>
      <c r="G151">
        <v>0</v>
      </c>
      <c r="H151">
        <v>0</v>
      </c>
      <c r="K151">
        <f>$AJ$33</f>
        <v>3.2</v>
      </c>
      <c r="M151">
        <f>$AJ$61</f>
        <v>0.7</v>
      </c>
      <c r="N151">
        <f t="shared" si="39"/>
        <v>0.55510000000000004</v>
      </c>
      <c r="P151">
        <f>$AJ$88</f>
        <v>22</v>
      </c>
      <c r="Q151">
        <f t="shared" si="46"/>
        <v>0.50661989714547884</v>
      </c>
      <c r="R151">
        <f t="shared" si="40"/>
        <v>0.99999999872459233</v>
      </c>
      <c r="S151">
        <v>1</v>
      </c>
      <c r="T151">
        <f t="shared" si="41"/>
        <v>0.50661989649933192</v>
      </c>
      <c r="U151">
        <v>15</v>
      </c>
      <c r="V151">
        <f t="shared" si="42"/>
        <v>1.1104454054187441E-2</v>
      </c>
      <c r="X151">
        <f t="shared" si="43"/>
        <v>91.25</v>
      </c>
      <c r="Y151">
        <f t="shared" si="44"/>
        <v>15.199221486669058</v>
      </c>
    </row>
    <row r="152" spans="1:25" x14ac:dyDescent="0.2">
      <c r="D152" t="s">
        <v>81</v>
      </c>
      <c r="F152">
        <v>0</v>
      </c>
      <c r="G152">
        <v>0</v>
      </c>
      <c r="H152">
        <v>0</v>
      </c>
      <c r="K152">
        <f>$AJ$34</f>
        <v>3</v>
      </c>
      <c r="M152">
        <f>$AJ$62</f>
        <v>0.55000000000000004</v>
      </c>
      <c r="N152">
        <f t="shared" si="39"/>
        <v>0.43585000000000007</v>
      </c>
      <c r="P152">
        <f>$AJ$89</f>
        <v>28</v>
      </c>
      <c r="Q152">
        <f t="shared" si="46"/>
        <v>0.47750864762612716</v>
      </c>
      <c r="R152">
        <f t="shared" si="40"/>
        <v>0.99999998477002028</v>
      </c>
      <c r="S152">
        <v>1</v>
      </c>
      <c r="T152">
        <f t="shared" si="41"/>
        <v>0.47750864035368012</v>
      </c>
      <c r="U152">
        <v>45</v>
      </c>
      <c r="V152">
        <f t="shared" si="42"/>
        <v>1.0557162438649187E-2</v>
      </c>
      <c r="X152">
        <f t="shared" si="43"/>
        <v>91.25</v>
      </c>
      <c r="Y152">
        <f t="shared" si="44"/>
        <v>43.350348263703218</v>
      </c>
    </row>
    <row r="153" spans="1:25" x14ac:dyDescent="0.2">
      <c r="D153" t="s">
        <v>82</v>
      </c>
      <c r="F153">
        <v>0</v>
      </c>
      <c r="G153">
        <v>0</v>
      </c>
      <c r="H153">
        <v>0</v>
      </c>
      <c r="K153">
        <f>$AJ$35</f>
        <v>1.8</v>
      </c>
      <c r="M153">
        <f>$AJ$63</f>
        <v>0.65</v>
      </c>
      <c r="N153">
        <f t="shared" si="39"/>
        <v>0.51535000000000009</v>
      </c>
      <c r="P153">
        <f>$AJ$90</f>
        <v>33</v>
      </c>
      <c r="Q153">
        <f t="shared" si="46"/>
        <v>0.67586829739226073</v>
      </c>
      <c r="R153">
        <f t="shared" si="40"/>
        <v>0.99846618932067555</v>
      </c>
      <c r="S153">
        <v>1</v>
      </c>
      <c r="T153">
        <f t="shared" si="41"/>
        <v>0.67483164337990365</v>
      </c>
      <c r="U153">
        <v>40</v>
      </c>
      <c r="V153">
        <f t="shared" si="42"/>
        <v>1.4266834895542188E-2</v>
      </c>
      <c r="X153">
        <f t="shared" si="43"/>
        <v>91.25</v>
      </c>
      <c r="Y153">
        <f t="shared" si="44"/>
        <v>52.073947368728987</v>
      </c>
    </row>
    <row r="154" spans="1:25" x14ac:dyDescent="0.2">
      <c r="D154" t="s">
        <v>83</v>
      </c>
      <c r="F154">
        <v>0</v>
      </c>
      <c r="G154">
        <v>0</v>
      </c>
      <c r="H154">
        <v>0</v>
      </c>
      <c r="K154">
        <f>$AJ$36</f>
        <v>1</v>
      </c>
      <c r="M154">
        <f>$AJ$64</f>
        <v>0.6</v>
      </c>
      <c r="N154">
        <f t="shared" si="39"/>
        <v>0.47559999999999997</v>
      </c>
      <c r="P154">
        <f>$AJ$91</f>
        <v>35</v>
      </c>
      <c r="Q154">
        <f t="shared" si="46"/>
        <v>0.65531047667424769</v>
      </c>
      <c r="R154">
        <f t="shared" si="40"/>
        <v>0.8646647167633873</v>
      </c>
      <c r="S154">
        <v>1</v>
      </c>
      <c r="T154">
        <f t="shared" si="41"/>
        <v>0.56662384770561869</v>
      </c>
      <c r="U154">
        <v>30</v>
      </c>
      <c r="V154">
        <f t="shared" si="42"/>
        <v>1.2232528336865632E-2</v>
      </c>
      <c r="X154">
        <f t="shared" si="43"/>
        <v>91.25</v>
      </c>
      <c r="Y154">
        <f t="shared" si="44"/>
        <v>33.486546322169666</v>
      </c>
    </row>
    <row r="161" spans="1:26" x14ac:dyDescent="0.2">
      <c r="A161" t="s">
        <v>107</v>
      </c>
      <c r="B161" t="s">
        <v>106</v>
      </c>
      <c r="C161" t="s">
        <v>72</v>
      </c>
      <c r="D161" t="s">
        <v>80</v>
      </c>
      <c r="F161">
        <v>0</v>
      </c>
      <c r="G161">
        <v>0</v>
      </c>
      <c r="H161">
        <v>0</v>
      </c>
      <c r="K161">
        <f>$AE$37</f>
        <v>3.5</v>
      </c>
      <c r="M161">
        <f>$AE$65</f>
        <v>0.73</v>
      </c>
      <c r="N161">
        <f>(0.795 * M161) - 0.0014</f>
        <v>0.57895000000000008</v>
      </c>
      <c r="P161">
        <f>$AE$92</f>
        <v>75</v>
      </c>
      <c r="Q161">
        <f>(104.7 * N161 + 0.307 * P161- 15) * POWER(P161, 0.75) * 10^-3</f>
        <v>1.7493630967264082</v>
      </c>
      <c r="R161">
        <f>1-EXP(-2*POWER(K161,2))</f>
        <v>0.99999999997710265</v>
      </c>
      <c r="S161">
        <v>1</v>
      </c>
      <c r="T161">
        <f>Q161 * R161 * S161</f>
        <v>1.7493630966863525</v>
      </c>
      <c r="U161">
        <v>25</v>
      </c>
      <c r="V161">
        <f>(T161 * 0.0188) + 0.00158</f>
        <v>3.4468026217703424E-2</v>
      </c>
      <c r="X161">
        <f>$AE$4</f>
        <v>91.25</v>
      </c>
      <c r="Y161">
        <f>U161*V161*X161</f>
        <v>78.630184809135926</v>
      </c>
      <c r="Z161">
        <f>SUM(Y161:Y184)*10^-3</f>
        <v>1.6117205003604651</v>
      </c>
    </row>
    <row r="162" spans="1:26" x14ac:dyDescent="0.2">
      <c r="D162" t="s">
        <v>81</v>
      </c>
      <c r="F162">
        <v>0</v>
      </c>
      <c r="G162">
        <v>0</v>
      </c>
      <c r="H162">
        <v>0</v>
      </c>
      <c r="K162">
        <f>$AE$38</f>
        <v>1.5</v>
      </c>
      <c r="M162">
        <f>$AE$66</f>
        <v>0.55000000000000004</v>
      </c>
      <c r="N162">
        <f t="shared" ref="N162:N184" si="49">(0.795 * M162) - 0.0014</f>
        <v>0.43585000000000007</v>
      </c>
      <c r="P162">
        <f>$AE$93</f>
        <v>65</v>
      </c>
      <c r="Q162">
        <f>(104.7 * N162 + 0.307 * P162- 15) * POWER(P162, 0.75) * 10^-3</f>
        <v>1.1580752413958724</v>
      </c>
      <c r="R162">
        <f t="shared" ref="R162:R184" si="50">1-EXP(-2*POWER(K162,2))</f>
        <v>0.98889100346175773</v>
      </c>
      <c r="S162">
        <v>1</v>
      </c>
      <c r="T162">
        <f t="shared" ref="T162:T184" si="51">Q162 * R162 * S162</f>
        <v>1.1452101875481815</v>
      </c>
      <c r="U162">
        <v>20</v>
      </c>
      <c r="V162">
        <f t="shared" ref="V162:V184" si="52">(T162 * 0.0188) + 0.00158</f>
        <v>2.3109951525905816E-2</v>
      </c>
      <c r="X162">
        <f t="shared" ref="X162:X184" si="53">$AE$4</f>
        <v>91.25</v>
      </c>
      <c r="Y162">
        <f t="shared" ref="Y162:Y184" si="54">U162*V162*X162</f>
        <v>42.175661534778108</v>
      </c>
    </row>
    <row r="163" spans="1:26" x14ac:dyDescent="0.2">
      <c r="D163" t="s">
        <v>82</v>
      </c>
      <c r="F163">
        <v>0</v>
      </c>
      <c r="G163">
        <v>0</v>
      </c>
      <c r="H163">
        <v>0</v>
      </c>
      <c r="K163">
        <f>$AE$39</f>
        <v>0.7</v>
      </c>
      <c r="M163">
        <f>$AE$67</f>
        <v>0.5</v>
      </c>
      <c r="N163">
        <f t="shared" si="49"/>
        <v>0.39610000000000001</v>
      </c>
      <c r="P163">
        <f>$AE$94</f>
        <v>65</v>
      </c>
      <c r="Q163">
        <f t="shared" ref="Q163:Q168" si="55">(104.7 * N163 + 0.307 * P163- 15) * POWER(P163, 0.75) * 10^-3</f>
        <v>1.0628024626440558</v>
      </c>
      <c r="R163">
        <f t="shared" si="50"/>
        <v>0.62468890114860043</v>
      </c>
      <c r="S163">
        <v>1</v>
      </c>
      <c r="T163">
        <f t="shared" si="51"/>
        <v>0.66392090252714164</v>
      </c>
      <c r="U163">
        <v>19</v>
      </c>
      <c r="V163">
        <f t="shared" si="52"/>
        <v>1.4061712967510263E-2</v>
      </c>
      <c r="X163">
        <f t="shared" si="53"/>
        <v>91.25</v>
      </c>
      <c r="Y163">
        <f t="shared" si="54"/>
        <v>24.379494857420919</v>
      </c>
    </row>
    <row r="164" spans="1:26" x14ac:dyDescent="0.2">
      <c r="D164" t="s">
        <v>83</v>
      </c>
      <c r="F164">
        <v>0</v>
      </c>
      <c r="G164">
        <v>0</v>
      </c>
      <c r="H164">
        <v>0</v>
      </c>
      <c r="K164">
        <f>$AE$40</f>
        <v>1.2</v>
      </c>
      <c r="M164">
        <f>$AE$68</f>
        <v>0.76</v>
      </c>
      <c r="N164">
        <f t="shared" si="49"/>
        <v>0.60280000000000011</v>
      </c>
      <c r="P164">
        <f>$AE$95</f>
        <v>65</v>
      </c>
      <c r="Q164">
        <f t="shared" si="55"/>
        <v>1.5582209121535018</v>
      </c>
      <c r="R164">
        <f t="shared" si="50"/>
        <v>0.94386523716586623</v>
      </c>
      <c r="S164">
        <v>1</v>
      </c>
      <c r="T164">
        <f t="shared" si="51"/>
        <v>1.4707505508065775</v>
      </c>
      <c r="U164">
        <v>25</v>
      </c>
      <c r="V164">
        <f t="shared" si="52"/>
        <v>2.9230110355163659E-2</v>
      </c>
      <c r="X164">
        <f t="shared" si="53"/>
        <v>91.25</v>
      </c>
      <c r="Y164">
        <f t="shared" si="54"/>
        <v>66.6811892477171</v>
      </c>
    </row>
    <row r="165" spans="1:26" x14ac:dyDescent="0.2">
      <c r="A165">
        <v>2</v>
      </c>
      <c r="C165" t="s">
        <v>73</v>
      </c>
      <c r="D165" t="s">
        <v>80</v>
      </c>
      <c r="F165">
        <v>0</v>
      </c>
      <c r="G165">
        <v>0</v>
      </c>
      <c r="H165">
        <v>0</v>
      </c>
      <c r="K165">
        <f>$AF$37</f>
        <v>3.5</v>
      </c>
      <c r="M165">
        <f>$AF$65</f>
        <v>0.73</v>
      </c>
      <c r="N165">
        <f t="shared" si="49"/>
        <v>0.57895000000000008</v>
      </c>
      <c r="P165">
        <f>$AF$92</f>
        <v>60</v>
      </c>
      <c r="Q165">
        <f t="shared" si="55"/>
        <v>1.3805052881061199</v>
      </c>
      <c r="R165">
        <f t="shared" si="50"/>
        <v>0.99999999997710265</v>
      </c>
      <c r="S165">
        <v>1</v>
      </c>
      <c r="T165">
        <f t="shared" si="51"/>
        <v>1.3805052880745101</v>
      </c>
      <c r="U165">
        <v>50</v>
      </c>
      <c r="V165">
        <f t="shared" si="52"/>
        <v>2.7533499415800793E-2</v>
      </c>
      <c r="X165">
        <f t="shared" si="53"/>
        <v>91.25</v>
      </c>
      <c r="Y165">
        <f t="shared" si="54"/>
        <v>125.62159108459112</v>
      </c>
    </row>
    <row r="166" spans="1:26" x14ac:dyDescent="0.2">
      <c r="D166" t="s">
        <v>81</v>
      </c>
      <c r="F166">
        <v>0</v>
      </c>
      <c r="G166">
        <v>0</v>
      </c>
      <c r="H166">
        <v>0</v>
      </c>
      <c r="K166">
        <f>$AF$38</f>
        <v>1.5</v>
      </c>
      <c r="M166">
        <f>$AF$66</f>
        <v>0.55000000000000004</v>
      </c>
      <c r="N166">
        <f t="shared" si="49"/>
        <v>0.43585000000000007</v>
      </c>
      <c r="P166">
        <f>$AF$93</f>
        <v>55</v>
      </c>
      <c r="Q166">
        <f t="shared" si="55"/>
        <v>0.95969823125361531</v>
      </c>
      <c r="R166">
        <f t="shared" si="50"/>
        <v>0.98889100346175773</v>
      </c>
      <c r="S166">
        <v>1</v>
      </c>
      <c r="T166">
        <f t="shared" si="51"/>
        <v>0.94903694692486162</v>
      </c>
      <c r="U166">
        <v>60</v>
      </c>
      <c r="V166">
        <f t="shared" si="52"/>
        <v>1.9421894602187399E-2</v>
      </c>
      <c r="X166">
        <f t="shared" si="53"/>
        <v>91.25</v>
      </c>
      <c r="Y166">
        <f t="shared" si="54"/>
        <v>106.33487294697601</v>
      </c>
    </row>
    <row r="167" spans="1:26" x14ac:dyDescent="0.2">
      <c r="D167" t="s">
        <v>82</v>
      </c>
      <c r="F167">
        <v>0</v>
      </c>
      <c r="G167">
        <v>0</v>
      </c>
      <c r="H167">
        <v>0</v>
      </c>
      <c r="K167">
        <f>$AF$39</f>
        <v>0.7</v>
      </c>
      <c r="M167">
        <f>$AF$67</f>
        <v>0.5</v>
      </c>
      <c r="N167">
        <f t="shared" si="49"/>
        <v>0.39610000000000001</v>
      </c>
      <c r="P167">
        <f>$AF$94</f>
        <v>48</v>
      </c>
      <c r="Q167">
        <f t="shared" si="55"/>
        <v>0.75146539652530986</v>
      </c>
      <c r="R167">
        <f t="shared" si="50"/>
        <v>0.62468890114860043</v>
      </c>
      <c r="S167">
        <v>1</v>
      </c>
      <c r="T167">
        <f t="shared" si="51"/>
        <v>0.46943209280659309</v>
      </c>
      <c r="U167">
        <v>55</v>
      </c>
      <c r="V167">
        <f t="shared" si="52"/>
        <v>1.0405323344763951E-2</v>
      </c>
      <c r="X167">
        <f t="shared" si="53"/>
        <v>91.25</v>
      </c>
      <c r="Y167">
        <f t="shared" si="54"/>
        <v>52.221716536534082</v>
      </c>
    </row>
    <row r="168" spans="1:26" x14ac:dyDescent="0.2">
      <c r="D168" t="s">
        <v>83</v>
      </c>
      <c r="F168">
        <v>0</v>
      </c>
      <c r="G168">
        <v>0</v>
      </c>
      <c r="H168">
        <v>0</v>
      </c>
      <c r="K168">
        <f>$AF$40</f>
        <v>1.2</v>
      </c>
      <c r="M168">
        <f>$AF$68</f>
        <v>0.76</v>
      </c>
      <c r="N168">
        <f t="shared" si="49"/>
        <v>0.60280000000000011</v>
      </c>
      <c r="P168">
        <f>$AF$95</f>
        <v>48</v>
      </c>
      <c r="Q168">
        <f t="shared" si="55"/>
        <v>1.1461208299494401</v>
      </c>
      <c r="R168">
        <f t="shared" si="50"/>
        <v>0.94386523716586623</v>
      </c>
      <c r="S168">
        <v>1</v>
      </c>
      <c r="T168">
        <f t="shared" si="51"/>
        <v>1.0817836089809678</v>
      </c>
      <c r="U168">
        <v>55</v>
      </c>
      <c r="V168">
        <f t="shared" si="52"/>
        <v>2.1917531848842198E-2</v>
      </c>
      <c r="X168">
        <f t="shared" si="53"/>
        <v>91.25</v>
      </c>
      <c r="Y168">
        <f t="shared" si="54"/>
        <v>109.9986129663768</v>
      </c>
    </row>
    <row r="169" spans="1:26" x14ac:dyDescent="0.2">
      <c r="A169">
        <v>3</v>
      </c>
      <c r="C169" t="s">
        <v>74</v>
      </c>
      <c r="D169" t="s">
        <v>80</v>
      </c>
      <c r="F169">
        <v>92</v>
      </c>
      <c r="G169">
        <v>87</v>
      </c>
      <c r="H169">
        <f>(F169/100*MIN(G169,100)/100)</f>
        <v>0.80040000000000011</v>
      </c>
      <c r="I169">
        <f>$AE$3</f>
        <v>1.3</v>
      </c>
      <c r="K169">
        <f>$AG$37</f>
        <v>3.5</v>
      </c>
      <c r="M169">
        <f>$AG$65</f>
        <v>0.73</v>
      </c>
      <c r="N169">
        <f t="shared" si="49"/>
        <v>0.57895000000000008</v>
      </c>
      <c r="P169">
        <f>$AG$92</f>
        <v>50</v>
      </c>
      <c r="Q169">
        <f>(104.7 * N169 + 0.307 * P169- 15) * POWER(P169, 0.75) * 10^-3</f>
        <v>1.1463458630615306</v>
      </c>
      <c r="R169">
        <f t="shared" si="50"/>
        <v>0.99999999997710265</v>
      </c>
      <c r="S169">
        <f>(H169 * I169) + (1 - H169)</f>
        <v>1.2401200000000001</v>
      </c>
      <c r="T169">
        <f t="shared" si="51"/>
        <v>1.4216064316673145</v>
      </c>
      <c r="U169">
        <v>60</v>
      </c>
      <c r="V169">
        <f t="shared" si="52"/>
        <v>2.8306200915345515E-2</v>
      </c>
      <c r="X169">
        <f t="shared" si="53"/>
        <v>91.25</v>
      </c>
      <c r="Y169">
        <f t="shared" si="54"/>
        <v>154.97645001151668</v>
      </c>
    </row>
    <row r="170" spans="1:26" x14ac:dyDescent="0.2">
      <c r="D170" t="s">
        <v>81</v>
      </c>
      <c r="F170">
        <v>0</v>
      </c>
      <c r="G170">
        <v>0</v>
      </c>
      <c r="H170">
        <f>(F170/100*MIN(G170,100)/100)</f>
        <v>0</v>
      </c>
      <c r="K170">
        <f>$AG$38</f>
        <v>1.5</v>
      </c>
      <c r="M170">
        <f>$AG$66</f>
        <v>0.55000000000000004</v>
      </c>
      <c r="N170">
        <f t="shared" si="49"/>
        <v>0.43585000000000007</v>
      </c>
      <c r="P170">
        <f>$AG$93</f>
        <v>45</v>
      </c>
      <c r="Q170">
        <f t="shared" ref="Q170:Q184" si="56">(104.7 * N170 + 0.307 * P170- 15) * POWER(P170, 0.75) * 10^-3</f>
        <v>0.77226516609487061</v>
      </c>
      <c r="R170">
        <f t="shared" si="50"/>
        <v>0.98889100346175773</v>
      </c>
      <c r="S170">
        <f t="shared" ref="S170:S176" si="57">(H170 * I170) + (1 - H170)</f>
        <v>1</v>
      </c>
      <c r="T170">
        <f t="shared" si="51"/>
        <v>0.76368607503811758</v>
      </c>
      <c r="U170">
        <v>70</v>
      </c>
      <c r="V170">
        <f t="shared" si="52"/>
        <v>1.5937298210716613E-2</v>
      </c>
      <c r="X170">
        <f t="shared" si="53"/>
        <v>91.25</v>
      </c>
      <c r="Y170">
        <f t="shared" si="54"/>
        <v>101.79949232095237</v>
      </c>
    </row>
    <row r="171" spans="1:26" x14ac:dyDescent="0.2">
      <c r="D171" t="s">
        <v>82</v>
      </c>
      <c r="F171">
        <v>0</v>
      </c>
      <c r="G171">
        <v>0</v>
      </c>
      <c r="H171">
        <f t="shared" ref="H171:H173" si="58">(F171/100*MIN(G171,100)/100)</f>
        <v>0</v>
      </c>
      <c r="K171">
        <f>$AG$39</f>
        <v>0.7</v>
      </c>
      <c r="M171">
        <f>$AG$67</f>
        <v>0.7</v>
      </c>
      <c r="N171">
        <f t="shared" si="49"/>
        <v>0.55510000000000004</v>
      </c>
      <c r="P171">
        <f>$AG$94</f>
        <v>40</v>
      </c>
      <c r="Q171">
        <f t="shared" si="56"/>
        <v>0.88114358489687972</v>
      </c>
      <c r="R171">
        <f t="shared" si="50"/>
        <v>0.62468890114860043</v>
      </c>
      <c r="S171">
        <f t="shared" si="57"/>
        <v>1</v>
      </c>
      <c r="T171">
        <f t="shared" si="51"/>
        <v>0.55044061780337028</v>
      </c>
      <c r="U171">
        <v>60</v>
      </c>
      <c r="V171">
        <f t="shared" si="52"/>
        <v>1.1928283614703361E-2</v>
      </c>
      <c r="X171">
        <f t="shared" si="53"/>
        <v>91.25</v>
      </c>
      <c r="Y171">
        <f t="shared" si="54"/>
        <v>65.3073527905009</v>
      </c>
    </row>
    <row r="172" spans="1:26" x14ac:dyDescent="0.2">
      <c r="D172" t="s">
        <v>83</v>
      </c>
      <c r="F172">
        <v>0</v>
      </c>
      <c r="G172">
        <v>0</v>
      </c>
      <c r="H172">
        <f t="shared" si="58"/>
        <v>0</v>
      </c>
      <c r="K172">
        <f>$AG$40</f>
        <v>1.2</v>
      </c>
      <c r="M172">
        <f>$AG$68</f>
        <v>0.76</v>
      </c>
      <c r="N172">
        <f t="shared" si="49"/>
        <v>0.60280000000000011</v>
      </c>
      <c r="P172">
        <f>$AG$95</f>
        <v>45</v>
      </c>
      <c r="Q172">
        <f t="shared" si="56"/>
        <v>1.0759635566592238</v>
      </c>
      <c r="R172">
        <f t="shared" si="50"/>
        <v>0.94386523716586623</v>
      </c>
      <c r="S172">
        <f t="shared" si="57"/>
        <v>1</v>
      </c>
      <c r="T172">
        <f t="shared" si="51"/>
        <v>1.0155645975879872</v>
      </c>
      <c r="U172">
        <v>50</v>
      </c>
      <c r="V172">
        <f t="shared" si="52"/>
        <v>2.0672614434654162E-2</v>
      </c>
      <c r="X172">
        <f t="shared" si="53"/>
        <v>91.25</v>
      </c>
      <c r="Y172">
        <f t="shared" si="54"/>
        <v>94.318803358109619</v>
      </c>
    </row>
    <row r="173" spans="1:26" x14ac:dyDescent="0.2">
      <c r="A173">
        <v>4</v>
      </c>
      <c r="C173" t="s">
        <v>75</v>
      </c>
      <c r="D173" t="s">
        <v>80</v>
      </c>
      <c r="F173">
        <v>95</v>
      </c>
      <c r="G173">
        <v>88</v>
      </c>
      <c r="H173">
        <f t="shared" si="58"/>
        <v>0.83599999999999997</v>
      </c>
      <c r="I173">
        <f>$AE$3</f>
        <v>1.3</v>
      </c>
      <c r="K173">
        <f>$AH$37</f>
        <v>3.5</v>
      </c>
      <c r="M173">
        <f>$AH$65</f>
        <v>0.73</v>
      </c>
      <c r="N173">
        <f t="shared" si="49"/>
        <v>0.57895000000000008</v>
      </c>
      <c r="P173">
        <f>$AH$92</f>
        <v>55</v>
      </c>
      <c r="Q173">
        <f t="shared" si="56"/>
        <v>1.2622908518455234</v>
      </c>
      <c r="R173">
        <f t="shared" si="50"/>
        <v>0.99999999997710265</v>
      </c>
      <c r="S173">
        <f t="shared" si="57"/>
        <v>1.2507999999999999</v>
      </c>
      <c r="T173">
        <f t="shared" si="51"/>
        <v>1.5788733974522284</v>
      </c>
      <c r="U173">
        <v>40</v>
      </c>
      <c r="V173">
        <f t="shared" si="52"/>
        <v>3.1262819872101895E-2</v>
      </c>
      <c r="X173">
        <f t="shared" si="53"/>
        <v>91.25</v>
      </c>
      <c r="Y173">
        <f t="shared" si="54"/>
        <v>114.10929253317191</v>
      </c>
    </row>
    <row r="174" spans="1:26" x14ac:dyDescent="0.2">
      <c r="D174" t="s">
        <v>81</v>
      </c>
      <c r="F174">
        <v>0</v>
      </c>
      <c r="G174">
        <v>0</v>
      </c>
      <c r="H174">
        <v>0</v>
      </c>
      <c r="K174">
        <f>$AH$38</f>
        <v>1.5</v>
      </c>
      <c r="M174">
        <f>$AH$66</f>
        <v>0.55000000000000004</v>
      </c>
      <c r="N174">
        <f t="shared" si="49"/>
        <v>0.43585000000000007</v>
      </c>
      <c r="P174">
        <f>$AH$93</f>
        <v>50</v>
      </c>
      <c r="Q174">
        <f t="shared" si="56"/>
        <v>0.8646283676396137</v>
      </c>
      <c r="R174">
        <f t="shared" si="50"/>
        <v>0.98889100346175773</v>
      </c>
      <c r="S174">
        <f t="shared" si="57"/>
        <v>1</v>
      </c>
      <c r="T174">
        <f t="shared" si="51"/>
        <v>0.85502321409663917</v>
      </c>
      <c r="U174">
        <v>45</v>
      </c>
      <c r="V174">
        <f t="shared" si="52"/>
        <v>1.7654436425016819E-2</v>
      </c>
      <c r="X174">
        <f t="shared" si="53"/>
        <v>91.25</v>
      </c>
      <c r="Y174">
        <f t="shared" si="54"/>
        <v>72.493529570225306</v>
      </c>
    </row>
    <row r="175" spans="1:26" x14ac:dyDescent="0.2">
      <c r="D175" t="s">
        <v>82</v>
      </c>
      <c r="F175">
        <v>0</v>
      </c>
      <c r="G175">
        <v>0</v>
      </c>
      <c r="H175">
        <v>0</v>
      </c>
      <c r="K175">
        <f>$AH$39</f>
        <v>0.7</v>
      </c>
      <c r="M175">
        <f>$AH$67</f>
        <v>0.7</v>
      </c>
      <c r="N175">
        <f t="shared" si="49"/>
        <v>0.55510000000000004</v>
      </c>
      <c r="P175">
        <f>$AH$94</f>
        <v>45</v>
      </c>
      <c r="Q175">
        <f t="shared" si="56"/>
        <v>0.98919258792655118</v>
      </c>
      <c r="R175">
        <f t="shared" si="50"/>
        <v>0.62468890114860043</v>
      </c>
      <c r="S175">
        <f t="shared" si="57"/>
        <v>1</v>
      </c>
      <c r="T175">
        <f t="shared" si="51"/>
        <v>0.61793763077617758</v>
      </c>
      <c r="U175">
        <v>40</v>
      </c>
      <c r="V175">
        <f t="shared" si="52"/>
        <v>1.3197227458592139E-2</v>
      </c>
      <c r="X175">
        <f t="shared" si="53"/>
        <v>91.25</v>
      </c>
      <c r="Y175">
        <f t="shared" si="54"/>
        <v>48.169880223861313</v>
      </c>
    </row>
    <row r="176" spans="1:26" x14ac:dyDescent="0.2">
      <c r="D176" t="s">
        <v>83</v>
      </c>
      <c r="F176">
        <v>0</v>
      </c>
      <c r="G176">
        <v>0</v>
      </c>
      <c r="H176">
        <v>0</v>
      </c>
      <c r="K176">
        <f>$AH$40</f>
        <v>1.2</v>
      </c>
      <c r="M176">
        <f>$AH$68</f>
        <v>0.76</v>
      </c>
      <c r="N176">
        <f t="shared" si="49"/>
        <v>0.60280000000000011</v>
      </c>
      <c r="P176">
        <f>$AH$95</f>
        <v>50</v>
      </c>
      <c r="Q176">
        <f t="shared" si="56"/>
        <v>1.1932987789651837</v>
      </c>
      <c r="R176">
        <f t="shared" si="50"/>
        <v>0.94386523716586623</v>
      </c>
      <c r="S176">
        <f t="shared" si="57"/>
        <v>1</v>
      </c>
      <c r="T176">
        <f t="shared" si="51"/>
        <v>1.1263132350177116</v>
      </c>
      <c r="U176">
        <v>35</v>
      </c>
      <c r="V176">
        <f t="shared" si="52"/>
        <v>2.275468881833298E-2</v>
      </c>
      <c r="X176">
        <f t="shared" si="53"/>
        <v>91.25</v>
      </c>
      <c r="Y176">
        <f t="shared" si="54"/>
        <v>72.67278741355095</v>
      </c>
    </row>
    <row r="177" spans="1:25" x14ac:dyDescent="0.2">
      <c r="A177">
        <v>5</v>
      </c>
      <c r="C177" t="s">
        <v>76</v>
      </c>
      <c r="D177" t="s">
        <v>80</v>
      </c>
      <c r="F177">
        <v>0</v>
      </c>
      <c r="G177">
        <v>0</v>
      </c>
      <c r="H177">
        <v>0</v>
      </c>
      <c r="K177">
        <f>$AI$37</f>
        <v>3.5</v>
      </c>
      <c r="M177">
        <f>$AI$65</f>
        <v>0.73</v>
      </c>
      <c r="N177">
        <f t="shared" si="49"/>
        <v>0.57895000000000008</v>
      </c>
      <c r="P177">
        <f>$AI$92</f>
        <v>55</v>
      </c>
      <c r="Q177">
        <f t="shared" si="56"/>
        <v>1.2622908518455234</v>
      </c>
      <c r="R177">
        <f t="shared" si="50"/>
        <v>0.99999999997710265</v>
      </c>
      <c r="S177">
        <v>1</v>
      </c>
      <c r="T177">
        <f t="shared" si="51"/>
        <v>1.2622908518166203</v>
      </c>
      <c r="U177">
        <v>25</v>
      </c>
      <c r="V177">
        <f t="shared" si="52"/>
        <v>2.5311068014152463E-2</v>
      </c>
      <c r="X177">
        <f t="shared" si="53"/>
        <v>91.25</v>
      </c>
      <c r="Y177">
        <f t="shared" si="54"/>
        <v>57.740873907285312</v>
      </c>
    </row>
    <row r="178" spans="1:25" x14ac:dyDescent="0.2">
      <c r="D178" t="s">
        <v>81</v>
      </c>
      <c r="F178">
        <v>0</v>
      </c>
      <c r="G178">
        <v>0</v>
      </c>
      <c r="H178">
        <v>0</v>
      </c>
      <c r="K178">
        <f>$AI$38</f>
        <v>1.5</v>
      </c>
      <c r="M178">
        <f>$AI$66</f>
        <v>0.55000000000000004</v>
      </c>
      <c r="N178">
        <f t="shared" si="49"/>
        <v>0.43585000000000007</v>
      </c>
      <c r="P178">
        <f>$AI$93</f>
        <v>50</v>
      </c>
      <c r="Q178">
        <f t="shared" si="56"/>
        <v>0.8646283676396137</v>
      </c>
      <c r="R178">
        <f t="shared" si="50"/>
        <v>0.98889100346175773</v>
      </c>
      <c r="S178">
        <v>1</v>
      </c>
      <c r="T178">
        <f t="shared" si="51"/>
        <v>0.85502321409663917</v>
      </c>
      <c r="U178">
        <v>30</v>
      </c>
      <c r="V178">
        <f t="shared" si="52"/>
        <v>1.7654436425016819E-2</v>
      </c>
      <c r="X178">
        <f t="shared" si="53"/>
        <v>91.25</v>
      </c>
      <c r="Y178">
        <f t="shared" si="54"/>
        <v>48.329019713483547</v>
      </c>
    </row>
    <row r="179" spans="1:25" x14ac:dyDescent="0.2">
      <c r="D179" t="s">
        <v>82</v>
      </c>
      <c r="F179">
        <v>0</v>
      </c>
      <c r="G179">
        <v>0</v>
      </c>
      <c r="H179">
        <v>0</v>
      </c>
      <c r="K179">
        <f>$AI$39</f>
        <v>0.7</v>
      </c>
      <c r="M179">
        <f>$AI$67</f>
        <v>0.5</v>
      </c>
      <c r="N179">
        <f t="shared" si="49"/>
        <v>0.39610000000000001</v>
      </c>
      <c r="P179">
        <f>$AI$94</f>
        <v>45</v>
      </c>
      <c r="Q179">
        <f t="shared" si="56"/>
        <v>0.69995602548431024</v>
      </c>
      <c r="R179">
        <f t="shared" si="50"/>
        <v>0.62468890114860043</v>
      </c>
      <c r="S179">
        <v>1</v>
      </c>
      <c r="T179">
        <f t="shared" si="51"/>
        <v>0.43725476041213551</v>
      </c>
      <c r="U179">
        <v>25</v>
      </c>
      <c r="V179">
        <f t="shared" si="52"/>
        <v>9.800389495748147E-3</v>
      </c>
      <c r="X179">
        <f t="shared" si="53"/>
        <v>91.25</v>
      </c>
      <c r="Y179">
        <f t="shared" si="54"/>
        <v>22.357138537175462</v>
      </c>
    </row>
    <row r="180" spans="1:25" x14ac:dyDescent="0.2">
      <c r="D180" t="s">
        <v>83</v>
      </c>
      <c r="F180">
        <v>0</v>
      </c>
      <c r="G180">
        <v>0</v>
      </c>
      <c r="H180">
        <v>0</v>
      </c>
      <c r="K180">
        <f>$AI$40</f>
        <v>1.2</v>
      </c>
      <c r="M180">
        <f>$AI$68</f>
        <v>0.76</v>
      </c>
      <c r="N180">
        <f t="shared" si="49"/>
        <v>0.60280000000000011</v>
      </c>
      <c r="P180">
        <f>$AI$95</f>
        <v>50</v>
      </c>
      <c r="Q180">
        <f t="shared" si="56"/>
        <v>1.1932987789651837</v>
      </c>
      <c r="R180">
        <f t="shared" si="50"/>
        <v>0.94386523716586623</v>
      </c>
      <c r="S180">
        <v>1</v>
      </c>
      <c r="T180">
        <f t="shared" si="51"/>
        <v>1.1263132350177116</v>
      </c>
      <c r="U180">
        <v>20</v>
      </c>
      <c r="V180">
        <f t="shared" si="52"/>
        <v>2.275468881833298E-2</v>
      </c>
      <c r="X180">
        <f t="shared" si="53"/>
        <v>91.25</v>
      </c>
      <c r="Y180">
        <f t="shared" si="54"/>
        <v>41.527307093457686</v>
      </c>
    </row>
    <row r="181" spans="1:25" x14ac:dyDescent="0.2">
      <c r="A181">
        <v>6</v>
      </c>
      <c r="C181" t="s">
        <v>77</v>
      </c>
      <c r="D181" t="s">
        <v>80</v>
      </c>
      <c r="F181">
        <v>0</v>
      </c>
      <c r="G181">
        <v>0</v>
      </c>
      <c r="H181">
        <v>0</v>
      </c>
      <c r="K181">
        <f>$AJ$37</f>
        <v>3.5</v>
      </c>
      <c r="M181">
        <f>$AJ$65</f>
        <v>0.73</v>
      </c>
      <c r="N181">
        <f t="shared" si="49"/>
        <v>0.57895000000000008</v>
      </c>
      <c r="P181">
        <f>$AJ$92</f>
        <v>30</v>
      </c>
      <c r="Q181">
        <f t="shared" si="56"/>
        <v>0.70279395559006042</v>
      </c>
      <c r="R181">
        <f t="shared" si="50"/>
        <v>0.99999999997710265</v>
      </c>
      <c r="S181">
        <v>1</v>
      </c>
      <c r="T181">
        <f t="shared" si="51"/>
        <v>0.70279395557396829</v>
      </c>
      <c r="U181">
        <v>15</v>
      </c>
      <c r="V181">
        <f t="shared" si="52"/>
        <v>1.4792526364790604E-2</v>
      </c>
      <c r="X181">
        <f t="shared" si="53"/>
        <v>91.25</v>
      </c>
      <c r="Y181">
        <f t="shared" si="54"/>
        <v>20.24727046180714</v>
      </c>
    </row>
    <row r="182" spans="1:25" x14ac:dyDescent="0.2">
      <c r="D182" t="s">
        <v>81</v>
      </c>
      <c r="F182">
        <v>0</v>
      </c>
      <c r="G182">
        <v>0</v>
      </c>
      <c r="H182">
        <v>0</v>
      </c>
      <c r="K182">
        <f>$AJ$38</f>
        <v>1.5</v>
      </c>
      <c r="M182">
        <f>$AJ$66</f>
        <v>0.55000000000000004</v>
      </c>
      <c r="N182">
        <f t="shared" si="49"/>
        <v>0.43585000000000007</v>
      </c>
      <c r="P182">
        <f>$AJ$93</f>
        <v>30</v>
      </c>
      <c r="Q182">
        <f t="shared" si="56"/>
        <v>0.5107382310873998</v>
      </c>
      <c r="R182">
        <f t="shared" si="50"/>
        <v>0.98889100346175773</v>
      </c>
      <c r="S182">
        <v>1</v>
      </c>
      <c r="T182">
        <f t="shared" si="51"/>
        <v>0.50506444184630195</v>
      </c>
      <c r="U182">
        <v>45</v>
      </c>
      <c r="V182">
        <f t="shared" si="52"/>
        <v>1.1075211506710477E-2</v>
      </c>
      <c r="X182">
        <f t="shared" si="53"/>
        <v>91.25</v>
      </c>
      <c r="Y182">
        <f t="shared" si="54"/>
        <v>45.477587249429895</v>
      </c>
    </row>
    <row r="183" spans="1:25" x14ac:dyDescent="0.2">
      <c r="D183" t="s">
        <v>82</v>
      </c>
      <c r="F183">
        <v>0</v>
      </c>
      <c r="G183">
        <v>0</v>
      </c>
      <c r="H183">
        <v>0</v>
      </c>
      <c r="K183">
        <f>$AJ$39</f>
        <v>0.7</v>
      </c>
      <c r="M183">
        <f>$AJ$67</f>
        <v>0.7</v>
      </c>
      <c r="N183">
        <f t="shared" si="49"/>
        <v>0.55510000000000004</v>
      </c>
      <c r="P183">
        <f>$AJ$94</f>
        <v>10</v>
      </c>
      <c r="Q183">
        <f t="shared" si="56"/>
        <v>0.25973966598977283</v>
      </c>
      <c r="R183">
        <f t="shared" si="50"/>
        <v>0.62468890114860043</v>
      </c>
      <c r="S183">
        <v>1</v>
      </c>
      <c r="T183">
        <f t="shared" si="51"/>
        <v>0.1622564865318557</v>
      </c>
      <c r="U183">
        <v>40</v>
      </c>
      <c r="V183">
        <f t="shared" si="52"/>
        <v>4.6304219467988876E-3</v>
      </c>
      <c r="X183">
        <f t="shared" si="53"/>
        <v>91.25</v>
      </c>
      <c r="Y183">
        <f t="shared" si="54"/>
        <v>16.901040105815941</v>
      </c>
    </row>
    <row r="184" spans="1:25" x14ac:dyDescent="0.2">
      <c r="D184" t="s">
        <v>83</v>
      </c>
      <c r="F184">
        <v>0</v>
      </c>
      <c r="G184">
        <v>0</v>
      </c>
      <c r="H184">
        <v>0</v>
      </c>
      <c r="K184">
        <f>$AJ$40</f>
        <v>1.2</v>
      </c>
      <c r="M184">
        <f>$AJ$68</f>
        <v>0.76</v>
      </c>
      <c r="N184">
        <f t="shared" si="49"/>
        <v>0.60280000000000011</v>
      </c>
      <c r="P184">
        <f>$AJ$95</f>
        <v>20</v>
      </c>
      <c r="Q184">
        <f t="shared" si="56"/>
        <v>0.51309470831906745</v>
      </c>
      <c r="R184">
        <f t="shared" si="50"/>
        <v>0.94386523716586623</v>
      </c>
      <c r="S184">
        <v>1</v>
      </c>
      <c r="T184">
        <f t="shared" si="51"/>
        <v>0.48429225855612756</v>
      </c>
      <c r="U184">
        <v>30</v>
      </c>
      <c r="V184">
        <f t="shared" si="52"/>
        <v>1.0684694460855198E-2</v>
      </c>
      <c r="X184">
        <f t="shared" si="53"/>
        <v>91.25</v>
      </c>
      <c r="Y184">
        <f t="shared" si="54"/>
        <v>29.249351086591101</v>
      </c>
    </row>
    <row r="201" spans="1:26" x14ac:dyDescent="0.2">
      <c r="A201" t="s">
        <v>108</v>
      </c>
      <c r="B201" t="s">
        <v>85</v>
      </c>
      <c r="C201" t="s">
        <v>72</v>
      </c>
      <c r="D201" t="s">
        <v>80</v>
      </c>
      <c r="F201">
        <v>0</v>
      </c>
      <c r="G201">
        <v>0</v>
      </c>
      <c r="H201">
        <v>0</v>
      </c>
      <c r="K201">
        <f>$AE$17</f>
        <v>2.9</v>
      </c>
      <c r="M201">
        <f>$AE$45</f>
        <v>0.75</v>
      </c>
      <c r="N201">
        <f>(0.795 * M201) - 0.0014</f>
        <v>0.5948500000000001</v>
      </c>
      <c r="P201">
        <f>$AE$72</f>
        <v>75</v>
      </c>
      <c r="Q201">
        <f>(104.7 * N201 + 0.307 * P201- 15) * POWER(P201, 0.75) * 10^-3</f>
        <v>1.7917898456122741</v>
      </c>
      <c r="R201">
        <f>1-EXP(-2*POWER(K201,2))</f>
        <v>0.9999999504359468</v>
      </c>
      <c r="S201">
        <v>1</v>
      </c>
      <c r="T201">
        <f>Q201 * R201 * S201</f>
        <v>1.7917897568039067</v>
      </c>
      <c r="U201">
        <v>50</v>
      </c>
      <c r="V201">
        <f>(T201 * 0.0188) + 0.00158</f>
        <v>3.5265647427913445E-2</v>
      </c>
      <c r="X201">
        <f>$AE$4</f>
        <v>91.25</v>
      </c>
      <c r="Y201">
        <f>U201*V201*X201</f>
        <v>160.89951638985508</v>
      </c>
      <c r="Z201">
        <f>SUM(Y201:Y224)*10^-3</f>
        <v>3.7710363373989564</v>
      </c>
    </row>
    <row r="202" spans="1:26" x14ac:dyDescent="0.2">
      <c r="D202" t="s">
        <v>81</v>
      </c>
      <c r="F202">
        <v>0</v>
      </c>
      <c r="G202">
        <v>0</v>
      </c>
      <c r="H202">
        <v>0</v>
      </c>
      <c r="K202">
        <f>$AE$18</f>
        <v>2.5</v>
      </c>
      <c r="M202">
        <f>$AE$46</f>
        <v>0.61</v>
      </c>
      <c r="N202">
        <f t="shared" ref="N202:N224" si="59">(0.795 * M202) - 0.0014</f>
        <v>0.48354999999999998</v>
      </c>
      <c r="P202">
        <f>$AE$73</f>
        <v>75</v>
      </c>
      <c r="Q202">
        <f>(104.7 * N202 + 0.307 * P202- 15) * POWER(P202, 0.75) * 10^-3</f>
        <v>1.4948026034112167</v>
      </c>
      <c r="R202">
        <f t="shared" ref="R202:R224" si="60">1-EXP(-2*POWER(K202,2))</f>
        <v>0.99999627334682795</v>
      </c>
      <c r="S202">
        <v>1</v>
      </c>
      <c r="T202">
        <f t="shared" ref="T202:T224" si="61">Q202 * R202 * S202</f>
        <v>1.494797032800353</v>
      </c>
      <c r="U202">
        <v>40</v>
      </c>
      <c r="V202">
        <f t="shared" ref="V202:V224" si="62">(T202 * 0.0188) + 0.00158</f>
        <v>2.9682184216646638E-2</v>
      </c>
      <c r="X202">
        <f t="shared" ref="X202:X224" si="63">$AE$4</f>
        <v>91.25</v>
      </c>
      <c r="Y202">
        <f t="shared" ref="Y202:Y224" si="64">U202*V202*X202</f>
        <v>108.33997239076024</v>
      </c>
    </row>
    <row r="203" spans="1:26" x14ac:dyDescent="0.2">
      <c r="D203" t="s">
        <v>82</v>
      </c>
      <c r="F203">
        <v>0</v>
      </c>
      <c r="G203">
        <v>0</v>
      </c>
      <c r="H203">
        <v>0</v>
      </c>
      <c r="K203">
        <f>$AE$19</f>
        <v>1.6</v>
      </c>
      <c r="M203">
        <f>$AE$47</f>
        <v>0.64</v>
      </c>
      <c r="N203">
        <f t="shared" si="59"/>
        <v>0.50740000000000007</v>
      </c>
      <c r="P203">
        <f>$AE$74</f>
        <v>69</v>
      </c>
      <c r="Q203">
        <f t="shared" ref="Q203:Q208" si="65">(104.7 * N203 + 0.307 * P203- 15) * POWER(P203, 0.75) * 10^-3</f>
        <v>1.4198696820048529</v>
      </c>
      <c r="R203">
        <f t="shared" si="60"/>
        <v>0.99402397710499402</v>
      </c>
      <c r="S203">
        <v>1</v>
      </c>
      <c r="T203">
        <f t="shared" si="61"/>
        <v>1.4113845082772669</v>
      </c>
      <c r="U203">
        <v>38</v>
      </c>
      <c r="V203">
        <f t="shared" si="62"/>
        <v>2.811402875561262E-2</v>
      </c>
      <c r="X203">
        <f t="shared" si="63"/>
        <v>91.25</v>
      </c>
      <c r="Y203">
        <f t="shared" si="64"/>
        <v>97.485394710086752</v>
      </c>
    </row>
    <row r="204" spans="1:26" x14ac:dyDescent="0.2">
      <c r="D204" t="s">
        <v>83</v>
      </c>
      <c r="F204">
        <v>0</v>
      </c>
      <c r="G204">
        <v>0</v>
      </c>
      <c r="H204">
        <v>0</v>
      </c>
      <c r="J204" s="2">
        <v>1.9</v>
      </c>
      <c r="K204" s="2">
        <v>1.9</v>
      </c>
      <c r="M204">
        <f>$AE$48</f>
        <v>0.72</v>
      </c>
      <c r="N204">
        <f t="shared" si="59"/>
        <v>0.57100000000000006</v>
      </c>
      <c r="P204">
        <f>$AE$75</f>
        <v>69</v>
      </c>
      <c r="Q204">
        <f t="shared" si="65"/>
        <v>1.5792888783210146</v>
      </c>
      <c r="R204">
        <f t="shared" si="60"/>
        <v>0.99926819758111951</v>
      </c>
      <c r="S204">
        <v>1</v>
      </c>
      <c r="T204">
        <f t="shared" si="61"/>
        <v>1.5781331508997483</v>
      </c>
      <c r="U204">
        <v>50</v>
      </c>
      <c r="V204">
        <f t="shared" si="62"/>
        <v>3.124890323691527E-2</v>
      </c>
      <c r="X204">
        <f t="shared" si="63"/>
        <v>91.25</v>
      </c>
      <c r="Y204">
        <f t="shared" si="64"/>
        <v>142.57312101842592</v>
      </c>
    </row>
    <row r="205" spans="1:26" x14ac:dyDescent="0.2">
      <c r="A205">
        <v>2</v>
      </c>
      <c r="C205" t="s">
        <v>73</v>
      </c>
      <c r="D205" t="s">
        <v>80</v>
      </c>
      <c r="F205">
        <v>0</v>
      </c>
      <c r="G205">
        <v>0</v>
      </c>
      <c r="H205">
        <v>0</v>
      </c>
      <c r="K205">
        <f>$AF$17</f>
        <v>2.9</v>
      </c>
      <c r="M205">
        <f>$AF$45</f>
        <v>0.75</v>
      </c>
      <c r="N205">
        <f t="shared" si="59"/>
        <v>0.5948500000000001</v>
      </c>
      <c r="P205">
        <f>$AF$72</f>
        <v>62</v>
      </c>
      <c r="Q205">
        <f t="shared" si="65"/>
        <v>1.4652245899459331</v>
      </c>
      <c r="R205">
        <f t="shared" si="60"/>
        <v>0.9999999504359468</v>
      </c>
      <c r="S205">
        <v>1</v>
      </c>
      <c r="T205">
        <f t="shared" si="61"/>
        <v>1.4652245173234635</v>
      </c>
      <c r="U205">
        <v>100</v>
      </c>
      <c r="V205">
        <f t="shared" si="62"/>
        <v>2.9126220925681116E-2</v>
      </c>
      <c r="X205">
        <f t="shared" si="63"/>
        <v>91.25</v>
      </c>
      <c r="Y205">
        <f t="shared" si="64"/>
        <v>265.77676594684021</v>
      </c>
    </row>
    <row r="206" spans="1:26" x14ac:dyDescent="0.2">
      <c r="D206" t="s">
        <v>81</v>
      </c>
      <c r="F206">
        <v>0</v>
      </c>
      <c r="G206">
        <v>0</v>
      </c>
      <c r="H206">
        <v>0</v>
      </c>
      <c r="K206">
        <f>$AF$18</f>
        <v>2.5</v>
      </c>
      <c r="M206">
        <f>$AF$46</f>
        <v>0.61</v>
      </c>
      <c r="N206">
        <f t="shared" si="59"/>
        <v>0.48354999999999998</v>
      </c>
      <c r="P206">
        <f>$AF$73</f>
        <v>55</v>
      </c>
      <c r="Q206">
        <f t="shared" si="65"/>
        <v>1.0605624381175847</v>
      </c>
      <c r="R206">
        <f t="shared" si="60"/>
        <v>0.99999627334682795</v>
      </c>
      <c r="S206">
        <v>1</v>
      </c>
      <c r="T206">
        <f t="shared" si="61"/>
        <v>1.0605584857692105</v>
      </c>
      <c r="U206">
        <v>120</v>
      </c>
      <c r="V206">
        <f t="shared" si="62"/>
        <v>2.1518499532461158E-2</v>
      </c>
      <c r="X206">
        <f t="shared" si="63"/>
        <v>91.25</v>
      </c>
      <c r="Y206">
        <f t="shared" si="64"/>
        <v>235.6275698804497</v>
      </c>
    </row>
    <row r="207" spans="1:26" x14ac:dyDescent="0.2">
      <c r="D207" t="s">
        <v>82</v>
      </c>
      <c r="F207">
        <v>0</v>
      </c>
      <c r="G207">
        <v>0</v>
      </c>
      <c r="H207">
        <v>0</v>
      </c>
      <c r="K207">
        <f>$AF$19</f>
        <v>1.6</v>
      </c>
      <c r="M207">
        <f>$AF$47</f>
        <v>0.64</v>
      </c>
      <c r="N207">
        <f t="shared" si="59"/>
        <v>0.50740000000000007</v>
      </c>
      <c r="P207">
        <f>$AF$74</f>
        <v>55</v>
      </c>
      <c r="Q207">
        <f t="shared" si="65"/>
        <v>1.1109945415495692</v>
      </c>
      <c r="R207">
        <f t="shared" si="60"/>
        <v>0.99402397710499402</v>
      </c>
      <c r="S207">
        <v>1</v>
      </c>
      <c r="T207">
        <f t="shared" si="61"/>
        <v>1.1043552127330423</v>
      </c>
      <c r="U207">
        <v>115</v>
      </c>
      <c r="V207">
        <f t="shared" si="62"/>
        <v>2.2341877999381195E-2</v>
      </c>
      <c r="X207">
        <f t="shared" si="63"/>
        <v>91.25</v>
      </c>
      <c r="Y207">
        <f t="shared" si="64"/>
        <v>234.4500822560064</v>
      </c>
    </row>
    <row r="208" spans="1:26" x14ac:dyDescent="0.2">
      <c r="D208" t="s">
        <v>83</v>
      </c>
      <c r="F208">
        <v>0</v>
      </c>
      <c r="G208">
        <v>0</v>
      </c>
      <c r="H208">
        <v>0</v>
      </c>
      <c r="J208" s="2">
        <v>1.8</v>
      </c>
      <c r="K208" s="2">
        <v>1.8</v>
      </c>
      <c r="M208">
        <f>$AF$48</f>
        <v>0.72</v>
      </c>
      <c r="N208">
        <f t="shared" si="59"/>
        <v>0.57100000000000006</v>
      </c>
      <c r="P208">
        <f>$AF$75</f>
        <v>55</v>
      </c>
      <c r="Q208">
        <f t="shared" si="65"/>
        <v>1.2454801507015281</v>
      </c>
      <c r="R208">
        <f t="shared" si="60"/>
        <v>0.99846618932067555</v>
      </c>
      <c r="S208">
        <v>1</v>
      </c>
      <c r="T208">
        <f t="shared" si="61"/>
        <v>1.2435698199454954</v>
      </c>
      <c r="U208">
        <v>110</v>
      </c>
      <c r="V208">
        <f t="shared" si="62"/>
        <v>2.4959112614975316E-2</v>
      </c>
      <c r="X208">
        <f t="shared" si="63"/>
        <v>91.25</v>
      </c>
      <c r="Y208">
        <f t="shared" si="64"/>
        <v>250.52709287281473</v>
      </c>
    </row>
    <row r="209" spans="1:25" x14ac:dyDescent="0.2">
      <c r="A209">
        <v>3</v>
      </c>
      <c r="C209" t="s">
        <v>74</v>
      </c>
      <c r="D209" t="s">
        <v>80</v>
      </c>
      <c r="F209">
        <v>90</v>
      </c>
      <c r="G209">
        <v>85</v>
      </c>
      <c r="H209">
        <f>(F209/100*MIN(G209,100)/100)</f>
        <v>0.76500000000000001</v>
      </c>
      <c r="I209">
        <f>$AE$3</f>
        <v>1.3</v>
      </c>
      <c r="K209">
        <f>$AG$17</f>
        <v>2.9</v>
      </c>
      <c r="M209">
        <f>$AG$45</f>
        <v>0.75</v>
      </c>
      <c r="N209">
        <f t="shared" si="59"/>
        <v>0.5948500000000001</v>
      </c>
      <c r="P209">
        <f>$AG$72</f>
        <v>44</v>
      </c>
      <c r="Q209">
        <f>(104.7 * N209 + 0.307 * P209- 15) * POWER(P209, 0.75) * 10^-3</f>
        <v>1.0385156413271623</v>
      </c>
      <c r="R209">
        <f t="shared" si="60"/>
        <v>0.9999999504359468</v>
      </c>
      <c r="S209">
        <f>(H209 * I209) + (1 - H209)</f>
        <v>1.2295</v>
      </c>
      <c r="T209">
        <f t="shared" si="61"/>
        <v>1.2768549177256379</v>
      </c>
      <c r="U209">
        <v>120</v>
      </c>
      <c r="V209">
        <f t="shared" si="62"/>
        <v>2.5584872453241994E-2</v>
      </c>
      <c r="X209">
        <f t="shared" si="63"/>
        <v>91.25</v>
      </c>
      <c r="Y209">
        <f t="shared" si="64"/>
        <v>280.15435336299987</v>
      </c>
    </row>
    <row r="210" spans="1:25" x14ac:dyDescent="0.2">
      <c r="D210" t="s">
        <v>81</v>
      </c>
      <c r="F210">
        <v>0</v>
      </c>
      <c r="G210">
        <v>0</v>
      </c>
      <c r="H210">
        <f>(F210/100*MIN(G210,100)/100)</f>
        <v>0</v>
      </c>
      <c r="K210">
        <f>$AG$18</f>
        <v>2.5</v>
      </c>
      <c r="M210">
        <f>$AG$46</f>
        <v>0.61</v>
      </c>
      <c r="N210">
        <f t="shared" si="59"/>
        <v>0.48354999999999998</v>
      </c>
      <c r="P210">
        <f>$AG$73</f>
        <v>42</v>
      </c>
      <c r="Q210">
        <f t="shared" ref="Q210:Q224" si="66">(104.7 * N210 + 0.307 * P210- 15) * POWER(P210, 0.75) * 10^-3</f>
        <v>0.80052120768394575</v>
      </c>
      <c r="R210">
        <f t="shared" si="60"/>
        <v>0.99999627334682795</v>
      </c>
      <c r="S210">
        <f t="shared" ref="S210:S216" si="67">(H210 * I210) + (1 - H210)</f>
        <v>1</v>
      </c>
      <c r="T210">
        <f t="shared" si="61"/>
        <v>0.80051822441904785</v>
      </c>
      <c r="U210">
        <v>130</v>
      </c>
      <c r="V210">
        <f t="shared" si="62"/>
        <v>1.6629742619078101E-2</v>
      </c>
      <c r="X210">
        <f t="shared" si="63"/>
        <v>91.25</v>
      </c>
      <c r="Y210">
        <f t="shared" si="64"/>
        <v>197.27032181881395</v>
      </c>
    </row>
    <row r="211" spans="1:25" x14ac:dyDescent="0.2">
      <c r="D211" t="s">
        <v>82</v>
      </c>
      <c r="F211">
        <v>0</v>
      </c>
      <c r="G211">
        <v>0</v>
      </c>
      <c r="H211">
        <f t="shared" ref="H211:H213" si="68">(F211/100*MIN(G211,100)/100)</f>
        <v>0</v>
      </c>
      <c r="K211">
        <f>$AG$19</f>
        <v>1.6</v>
      </c>
      <c r="M211">
        <f>$AG$47</f>
        <v>0.64</v>
      </c>
      <c r="N211">
        <f t="shared" si="59"/>
        <v>0.50740000000000007</v>
      </c>
      <c r="P211">
        <f>$AG$74</f>
        <v>43</v>
      </c>
      <c r="Q211">
        <f t="shared" si="66"/>
        <v>0.86186034677094148</v>
      </c>
      <c r="R211">
        <f t="shared" si="60"/>
        <v>0.99402397710499402</v>
      </c>
      <c r="S211">
        <f t="shared" si="67"/>
        <v>1</v>
      </c>
      <c r="T211">
        <f t="shared" si="61"/>
        <v>0.85670984960634056</v>
      </c>
      <c r="U211">
        <v>120</v>
      </c>
      <c r="V211">
        <f t="shared" si="62"/>
        <v>1.7686145172599206E-2</v>
      </c>
      <c r="X211">
        <f t="shared" si="63"/>
        <v>91.25</v>
      </c>
      <c r="Y211">
        <f t="shared" si="64"/>
        <v>193.66328963996131</v>
      </c>
    </row>
    <row r="212" spans="1:25" x14ac:dyDescent="0.2">
      <c r="D212" t="s">
        <v>83</v>
      </c>
      <c r="F212">
        <v>0</v>
      </c>
      <c r="G212">
        <v>0</v>
      </c>
      <c r="H212">
        <f t="shared" si="68"/>
        <v>0</v>
      </c>
      <c r="J212" s="2">
        <v>1.6</v>
      </c>
      <c r="K212" s="2">
        <v>1.6</v>
      </c>
      <c r="M212">
        <f>$AG$48</f>
        <v>0.72</v>
      </c>
      <c r="N212">
        <f t="shared" si="59"/>
        <v>0.57100000000000006</v>
      </c>
      <c r="P212">
        <f>$AG$75</f>
        <v>45</v>
      </c>
      <c r="Q212">
        <f t="shared" si="66"/>
        <v>1.0181162441707754</v>
      </c>
      <c r="R212">
        <f t="shared" si="60"/>
        <v>0.99402397710499402</v>
      </c>
      <c r="S212">
        <f t="shared" si="67"/>
        <v>1</v>
      </c>
      <c r="T212">
        <f t="shared" si="61"/>
        <v>1.0120319581858332</v>
      </c>
      <c r="U212">
        <v>110</v>
      </c>
      <c r="V212">
        <f t="shared" si="62"/>
        <v>2.0606200813893666E-2</v>
      </c>
      <c r="X212">
        <f t="shared" si="63"/>
        <v>91.25</v>
      </c>
      <c r="Y212">
        <f t="shared" si="64"/>
        <v>206.83474066945769</v>
      </c>
    </row>
    <row r="213" spans="1:25" x14ac:dyDescent="0.2">
      <c r="A213">
        <v>4</v>
      </c>
      <c r="C213" t="s">
        <v>75</v>
      </c>
      <c r="D213" t="s">
        <v>80</v>
      </c>
      <c r="F213">
        <v>95</v>
      </c>
      <c r="G213">
        <v>88</v>
      </c>
      <c r="H213">
        <f t="shared" si="68"/>
        <v>0.83599999999999997</v>
      </c>
      <c r="I213">
        <f>$AE$3</f>
        <v>1.3</v>
      </c>
      <c r="K213">
        <f>$AH$17</f>
        <v>2.9</v>
      </c>
      <c r="M213">
        <f>$AH$45</f>
        <v>0.75</v>
      </c>
      <c r="N213">
        <f t="shared" si="59"/>
        <v>0.5948500000000001</v>
      </c>
      <c r="P213">
        <f>$AH$72</f>
        <v>54</v>
      </c>
      <c r="Q213">
        <f t="shared" si="66"/>
        <v>1.2720847291262878</v>
      </c>
      <c r="R213">
        <f t="shared" si="60"/>
        <v>0.9999999504359468</v>
      </c>
      <c r="S213">
        <f t="shared" si="67"/>
        <v>1.2507999999999999</v>
      </c>
      <c r="T213">
        <f t="shared" si="61"/>
        <v>1.5911235003286268</v>
      </c>
      <c r="U213">
        <v>80</v>
      </c>
      <c r="V213">
        <f t="shared" si="62"/>
        <v>3.1493121806178186E-2</v>
      </c>
      <c r="X213">
        <f t="shared" si="63"/>
        <v>91.25</v>
      </c>
      <c r="Y213">
        <f t="shared" si="64"/>
        <v>229.89978918510076</v>
      </c>
    </row>
    <row r="214" spans="1:25" x14ac:dyDescent="0.2">
      <c r="D214" t="s">
        <v>81</v>
      </c>
      <c r="F214">
        <v>0</v>
      </c>
      <c r="G214">
        <v>0</v>
      </c>
      <c r="H214">
        <v>0</v>
      </c>
      <c r="K214">
        <f>$AH$18</f>
        <v>2.5</v>
      </c>
      <c r="M214">
        <f>$AH$46</f>
        <v>0.61</v>
      </c>
      <c r="N214">
        <f t="shared" si="59"/>
        <v>0.48354999999999998</v>
      </c>
      <c r="P214">
        <f>$AH$73</f>
        <v>49</v>
      </c>
      <c r="Q214">
        <f t="shared" si="66"/>
        <v>0.93843421889903578</v>
      </c>
      <c r="R214">
        <f t="shared" si="60"/>
        <v>0.99999627334682795</v>
      </c>
      <c r="S214">
        <f t="shared" si="67"/>
        <v>1</v>
      </c>
      <c r="T214">
        <f t="shared" si="61"/>
        <v>0.93843072168017716</v>
      </c>
      <c r="U214">
        <v>90</v>
      </c>
      <c r="V214">
        <f t="shared" si="62"/>
        <v>1.9222497567587333E-2</v>
      </c>
      <c r="X214">
        <f t="shared" si="63"/>
        <v>91.25</v>
      </c>
      <c r="Y214">
        <f t="shared" si="64"/>
        <v>157.86476127381098</v>
      </c>
    </row>
    <row r="215" spans="1:25" x14ac:dyDescent="0.2">
      <c r="D215" t="s">
        <v>82</v>
      </c>
      <c r="F215">
        <v>0</v>
      </c>
      <c r="G215">
        <v>0</v>
      </c>
      <c r="H215">
        <v>0</v>
      </c>
      <c r="K215">
        <f>$AH$19</f>
        <v>1.6</v>
      </c>
      <c r="M215">
        <f>$AH$47</f>
        <v>0.64</v>
      </c>
      <c r="N215">
        <f t="shared" si="59"/>
        <v>0.50740000000000007</v>
      </c>
      <c r="P215">
        <f>$AH$74</f>
        <v>50</v>
      </c>
      <c r="Q215">
        <f t="shared" si="66"/>
        <v>1.0054871153505722</v>
      </c>
      <c r="R215">
        <f t="shared" si="60"/>
        <v>0.99402397710499402</v>
      </c>
      <c r="S215">
        <f t="shared" si="67"/>
        <v>1</v>
      </c>
      <c r="T215">
        <f t="shared" si="61"/>
        <v>0.99947830132860371</v>
      </c>
      <c r="U215">
        <v>80</v>
      </c>
      <c r="V215">
        <f t="shared" si="62"/>
        <v>2.0370192064977751E-2</v>
      </c>
      <c r="X215">
        <f t="shared" si="63"/>
        <v>91.25</v>
      </c>
      <c r="Y215">
        <f t="shared" si="64"/>
        <v>148.70240207433758</v>
      </c>
    </row>
    <row r="216" spans="1:25" x14ac:dyDescent="0.2">
      <c r="D216" t="s">
        <v>83</v>
      </c>
      <c r="F216">
        <v>0</v>
      </c>
      <c r="G216">
        <v>0</v>
      </c>
      <c r="H216">
        <v>0</v>
      </c>
      <c r="J216" s="2">
        <v>1.9</v>
      </c>
      <c r="K216" s="2">
        <v>1.9</v>
      </c>
      <c r="M216">
        <f>$AH$48</f>
        <v>0.72</v>
      </c>
      <c r="N216">
        <f t="shared" si="59"/>
        <v>0.57100000000000006</v>
      </c>
      <c r="P216">
        <f>$AH$75</f>
        <v>50</v>
      </c>
      <c r="Q216">
        <f t="shared" si="66"/>
        <v>1.1306948910936463</v>
      </c>
      <c r="R216">
        <f t="shared" si="60"/>
        <v>0.99926819758111951</v>
      </c>
      <c r="S216">
        <f t="shared" si="67"/>
        <v>1</v>
      </c>
      <c r="T216">
        <f t="shared" si="61"/>
        <v>1.1298674458373281</v>
      </c>
      <c r="U216">
        <v>70</v>
      </c>
      <c r="V216">
        <f t="shared" si="62"/>
        <v>2.2821507981741773E-2</v>
      </c>
      <c r="X216">
        <f t="shared" si="63"/>
        <v>91.25</v>
      </c>
      <c r="Y216">
        <f t="shared" si="64"/>
        <v>145.77238223337557</v>
      </c>
    </row>
    <row r="217" spans="1:25" x14ac:dyDescent="0.2">
      <c r="A217">
        <v>5</v>
      </c>
      <c r="C217" t="s">
        <v>76</v>
      </c>
      <c r="D217" t="s">
        <v>80</v>
      </c>
      <c r="F217">
        <v>0</v>
      </c>
      <c r="G217">
        <v>0</v>
      </c>
      <c r="H217">
        <v>0</v>
      </c>
      <c r="K217">
        <f>$AI$17</f>
        <v>2.9</v>
      </c>
      <c r="M217">
        <f>$AI$45</f>
        <v>0.75</v>
      </c>
      <c r="N217">
        <f t="shared" si="59"/>
        <v>0.5948500000000001</v>
      </c>
      <c r="P217">
        <f>$AI$72</f>
        <v>56</v>
      </c>
      <c r="Q217">
        <f t="shared" si="66"/>
        <v>1.3198285488795851</v>
      </c>
      <c r="R217">
        <f t="shared" si="60"/>
        <v>0.9999999504359468</v>
      </c>
      <c r="S217">
        <v>1</v>
      </c>
      <c r="T217">
        <f t="shared" si="61"/>
        <v>1.3198284834635328</v>
      </c>
      <c r="U217">
        <v>50</v>
      </c>
      <c r="V217">
        <f t="shared" si="62"/>
        <v>2.6392775489114419E-2</v>
      </c>
      <c r="X217">
        <f t="shared" si="63"/>
        <v>91.25</v>
      </c>
      <c r="Y217">
        <f t="shared" si="64"/>
        <v>120.41703816908453</v>
      </c>
    </row>
    <row r="218" spans="1:25" x14ac:dyDescent="0.2">
      <c r="D218" t="s">
        <v>81</v>
      </c>
      <c r="F218">
        <v>0</v>
      </c>
      <c r="G218">
        <v>0</v>
      </c>
      <c r="H218">
        <v>0</v>
      </c>
      <c r="K218">
        <f>$AI$18</f>
        <v>2.5</v>
      </c>
      <c r="M218">
        <f>$AI$46</f>
        <v>0.61</v>
      </c>
      <c r="N218">
        <f t="shared" si="59"/>
        <v>0.48354999999999998</v>
      </c>
      <c r="P218">
        <f>$AI$73</f>
        <v>51</v>
      </c>
      <c r="Q218">
        <f t="shared" si="66"/>
        <v>0.97873546256970145</v>
      </c>
      <c r="R218">
        <f t="shared" si="60"/>
        <v>0.99999627334682795</v>
      </c>
      <c r="S218">
        <v>1</v>
      </c>
      <c r="T218">
        <f t="shared" si="61"/>
        <v>0.97873181516208529</v>
      </c>
      <c r="U218">
        <v>55</v>
      </c>
      <c r="V218">
        <f t="shared" si="62"/>
        <v>1.9980158125047207E-2</v>
      </c>
      <c r="X218">
        <f t="shared" si="63"/>
        <v>91.25</v>
      </c>
      <c r="Y218">
        <f t="shared" si="64"/>
        <v>100.27541859008066</v>
      </c>
    </row>
    <row r="219" spans="1:25" x14ac:dyDescent="0.2">
      <c r="D219" t="s">
        <v>82</v>
      </c>
      <c r="F219">
        <v>0</v>
      </c>
      <c r="G219">
        <v>0</v>
      </c>
      <c r="H219">
        <v>0</v>
      </c>
      <c r="K219">
        <f>$AI$19</f>
        <v>1.6</v>
      </c>
      <c r="M219">
        <f>$AI$47</f>
        <v>0.64</v>
      </c>
      <c r="N219">
        <f t="shared" si="59"/>
        <v>0.50740000000000007</v>
      </c>
      <c r="P219">
        <f>$AI$74</f>
        <v>50</v>
      </c>
      <c r="Q219">
        <f t="shared" si="66"/>
        <v>1.0054871153505722</v>
      </c>
      <c r="R219">
        <f t="shared" si="60"/>
        <v>0.99402397710499402</v>
      </c>
      <c r="S219">
        <v>1</v>
      </c>
      <c r="T219">
        <f t="shared" si="61"/>
        <v>0.99947830132860371</v>
      </c>
      <c r="U219">
        <v>45</v>
      </c>
      <c r="V219">
        <f t="shared" si="62"/>
        <v>2.0370192064977751E-2</v>
      </c>
      <c r="X219">
        <f t="shared" si="63"/>
        <v>91.25</v>
      </c>
      <c r="Y219">
        <f t="shared" si="64"/>
        <v>83.645101166814896</v>
      </c>
    </row>
    <row r="220" spans="1:25" x14ac:dyDescent="0.2">
      <c r="D220" t="s">
        <v>83</v>
      </c>
      <c r="F220">
        <v>0</v>
      </c>
      <c r="G220">
        <v>0</v>
      </c>
      <c r="H220">
        <v>0</v>
      </c>
      <c r="J220" s="2">
        <v>1.8</v>
      </c>
      <c r="K220" s="2">
        <v>1.8</v>
      </c>
      <c r="M220">
        <f>$AI$48</f>
        <v>0.72</v>
      </c>
      <c r="N220">
        <f t="shared" si="59"/>
        <v>0.57100000000000006</v>
      </c>
      <c r="P220">
        <f>$AI$75</f>
        <v>51</v>
      </c>
      <c r="Q220">
        <f t="shared" si="66"/>
        <v>1.1534721617679149</v>
      </c>
      <c r="R220">
        <f t="shared" si="60"/>
        <v>0.99846618932067555</v>
      </c>
      <c r="S220">
        <v>1</v>
      </c>
      <c r="T220">
        <f t="shared" si="61"/>
        <v>1.1517029538478918</v>
      </c>
      <c r="U220">
        <v>40</v>
      </c>
      <c r="V220">
        <f t="shared" si="62"/>
        <v>2.3232015532340368E-2</v>
      </c>
      <c r="X220">
        <f t="shared" si="63"/>
        <v>91.25</v>
      </c>
      <c r="Y220">
        <f t="shared" si="64"/>
        <v>84.796856693042344</v>
      </c>
    </row>
    <row r="221" spans="1:25" x14ac:dyDescent="0.2">
      <c r="A221">
        <v>6</v>
      </c>
      <c r="C221" t="s">
        <v>77</v>
      </c>
      <c r="D221" t="s">
        <v>80</v>
      </c>
      <c r="F221">
        <v>0</v>
      </c>
      <c r="G221">
        <v>0</v>
      </c>
      <c r="H221">
        <v>0</v>
      </c>
      <c r="K221">
        <f>$AJ$17</f>
        <v>2.9</v>
      </c>
      <c r="M221">
        <f>$AJ$45</f>
        <v>0.75</v>
      </c>
      <c r="N221">
        <f t="shared" si="59"/>
        <v>0.5948500000000001</v>
      </c>
      <c r="P221">
        <f>$AJ$72</f>
        <v>20</v>
      </c>
      <c r="Q221">
        <f t="shared" si="66"/>
        <v>0.5052226861752882</v>
      </c>
      <c r="R221">
        <f t="shared" si="60"/>
        <v>0.9999999504359468</v>
      </c>
      <c r="S221">
        <v>1</v>
      </c>
      <c r="T221">
        <f t="shared" si="61"/>
        <v>0.50522266113440406</v>
      </c>
      <c r="U221">
        <v>30</v>
      </c>
      <c r="V221">
        <f t="shared" si="62"/>
        <v>1.1078186029326796E-2</v>
      </c>
      <c r="X221">
        <f t="shared" si="63"/>
        <v>91.25</v>
      </c>
      <c r="Y221">
        <f t="shared" si="64"/>
        <v>30.326534255282102</v>
      </c>
    </row>
    <row r="222" spans="1:25" x14ac:dyDescent="0.2">
      <c r="D222" t="s">
        <v>81</v>
      </c>
      <c r="F222">
        <v>0</v>
      </c>
      <c r="G222">
        <v>0</v>
      </c>
      <c r="H222">
        <v>0</v>
      </c>
      <c r="K222">
        <f>$AJ$18</f>
        <v>2.5</v>
      </c>
      <c r="M222">
        <f>$AJ$46</f>
        <v>0.61</v>
      </c>
      <c r="N222">
        <f t="shared" si="59"/>
        <v>0.48354999999999998</v>
      </c>
      <c r="P222">
        <f>$AJ$73</f>
        <v>27</v>
      </c>
      <c r="Q222">
        <f t="shared" si="66"/>
        <v>0.52017847077168489</v>
      </c>
      <c r="R222">
        <f t="shared" si="60"/>
        <v>0.99999627334682795</v>
      </c>
      <c r="S222">
        <v>1</v>
      </c>
      <c r="T222">
        <f t="shared" si="61"/>
        <v>0.52017653224693672</v>
      </c>
      <c r="U222">
        <v>90</v>
      </c>
      <c r="V222">
        <f t="shared" si="62"/>
        <v>1.135931880624241E-2</v>
      </c>
      <c r="X222">
        <f t="shared" si="63"/>
        <v>91.25</v>
      </c>
      <c r="Y222">
        <f t="shared" si="64"/>
        <v>93.288405696265798</v>
      </c>
    </row>
    <row r="223" spans="1:25" x14ac:dyDescent="0.2">
      <c r="D223" t="s">
        <v>82</v>
      </c>
      <c r="F223">
        <v>0</v>
      </c>
      <c r="G223">
        <v>0</v>
      </c>
      <c r="H223">
        <v>0</v>
      </c>
      <c r="K223">
        <f>$AJ$19</f>
        <v>1.6</v>
      </c>
      <c r="M223">
        <f>$AJ$47</f>
        <v>0.64</v>
      </c>
      <c r="N223">
        <f t="shared" si="59"/>
        <v>0.50740000000000007</v>
      </c>
      <c r="P223">
        <f>$AJ$74</f>
        <v>32</v>
      </c>
      <c r="Q223">
        <f t="shared" si="66"/>
        <v>0.64511931548462409</v>
      </c>
      <c r="R223">
        <f t="shared" si="60"/>
        <v>0.99402397710499402</v>
      </c>
      <c r="S223">
        <v>1</v>
      </c>
      <c r="T223">
        <f t="shared" si="61"/>
        <v>0.64126406768527744</v>
      </c>
      <c r="U223">
        <v>80</v>
      </c>
      <c r="V223">
        <f t="shared" si="62"/>
        <v>1.3635764472483216E-2</v>
      </c>
      <c r="X223">
        <f t="shared" si="63"/>
        <v>91.25</v>
      </c>
      <c r="Y223">
        <f t="shared" si="64"/>
        <v>99.54108064912748</v>
      </c>
    </row>
    <row r="224" spans="1:25" x14ac:dyDescent="0.2">
      <c r="D224" t="s">
        <v>83</v>
      </c>
      <c r="F224">
        <v>0</v>
      </c>
      <c r="G224">
        <v>0</v>
      </c>
      <c r="H224">
        <v>0</v>
      </c>
      <c r="J224" s="2">
        <v>1.6</v>
      </c>
      <c r="K224" s="2">
        <v>1.6</v>
      </c>
      <c r="M224">
        <f>$AJ$48</f>
        <v>0.72</v>
      </c>
      <c r="N224">
        <f t="shared" si="59"/>
        <v>0.57100000000000006</v>
      </c>
      <c r="P224">
        <f>$AJ$75</f>
        <v>34</v>
      </c>
      <c r="Q224">
        <f t="shared" si="66"/>
        <v>0.77753323213623582</v>
      </c>
      <c r="R224">
        <f t="shared" si="60"/>
        <v>0.99402397710499402</v>
      </c>
      <c r="S224">
        <v>1</v>
      </c>
      <c r="T224">
        <f t="shared" si="61"/>
        <v>0.77288667573936165</v>
      </c>
      <c r="U224">
        <v>70</v>
      </c>
      <c r="V224">
        <f t="shared" si="62"/>
        <v>1.6110269503900002E-2</v>
      </c>
      <c r="X224">
        <f t="shared" si="63"/>
        <v>91.25</v>
      </c>
      <c r="Y224">
        <f t="shared" si="64"/>
        <v>102.90434645616126</v>
      </c>
    </row>
    <row r="231" spans="1:26" x14ac:dyDescent="0.2">
      <c r="A231" t="s">
        <v>99</v>
      </c>
      <c r="B231" t="s">
        <v>98</v>
      </c>
      <c r="C231" t="s">
        <v>72</v>
      </c>
      <c r="D231" t="s">
        <v>80</v>
      </c>
      <c r="F231">
        <v>0</v>
      </c>
      <c r="G231">
        <v>0</v>
      </c>
      <c r="H231">
        <v>0</v>
      </c>
      <c r="K231">
        <f>$AE$21</f>
        <v>1.5</v>
      </c>
      <c r="L231" s="2">
        <v>0.5</v>
      </c>
      <c r="M231" s="2">
        <v>0.5</v>
      </c>
      <c r="N231">
        <f>(0.795 * M231) - 0.0014</f>
        <v>0.39610000000000001</v>
      </c>
      <c r="P231">
        <f>$AE$76</f>
        <v>58</v>
      </c>
      <c r="Q231">
        <f>(104.7 * N231 + 0.307 * P231- 15) * POWER(P231, 0.75) * 10^-3</f>
        <v>0.93058437094840885</v>
      </c>
      <c r="R231">
        <f>1-EXP(-2*POWER(K231,2))</f>
        <v>0.98889100346175773</v>
      </c>
      <c r="S231">
        <v>1</v>
      </c>
      <c r="T231">
        <f>Q231 * R231 * S231</f>
        <v>0.92024651239300059</v>
      </c>
      <c r="U231">
        <v>25</v>
      </c>
      <c r="V231">
        <f>(T231 * 0.0188) + 0.00158</f>
        <v>1.8880634432988413E-2</v>
      </c>
      <c r="X231">
        <f>$AE$4</f>
        <v>91.25</v>
      </c>
      <c r="Y231">
        <f>U231*V231*X231</f>
        <v>43.071447300254817</v>
      </c>
      <c r="Z231">
        <f>SUM(Y231:Y254)*10^-3</f>
        <v>1.3279574495523139</v>
      </c>
    </row>
    <row r="232" spans="1:26" x14ac:dyDescent="0.2">
      <c r="D232" t="s">
        <v>81</v>
      </c>
      <c r="F232">
        <v>0</v>
      </c>
      <c r="G232">
        <v>0</v>
      </c>
      <c r="H232">
        <v>0</v>
      </c>
      <c r="K232">
        <f>$AE$22</f>
        <v>2</v>
      </c>
      <c r="L232" s="2">
        <v>0.51</v>
      </c>
      <c r="M232" s="2">
        <v>0.51</v>
      </c>
      <c r="N232">
        <f t="shared" ref="N232:N254" si="69">(0.795 * M232) - 0.0014</f>
        <v>0.40405000000000002</v>
      </c>
      <c r="P232">
        <f>$AE$77</f>
        <v>61</v>
      </c>
      <c r="Q232">
        <f>(104.7 * N232 + 0.307 * P232- 15) * POWER(P232, 0.75) * 10^-3</f>
        <v>1.0047270997102939</v>
      </c>
      <c r="R232">
        <f t="shared" ref="R232:R254" si="70">1-EXP(-2*POWER(K232,2))</f>
        <v>0.99966453737209748</v>
      </c>
      <c r="S232">
        <v>1</v>
      </c>
      <c r="T232">
        <f t="shared" ref="T232:T254" si="71">Q232 * R232 * S232</f>
        <v>1.0043900513171002</v>
      </c>
      <c r="U232">
        <v>20</v>
      </c>
      <c r="V232">
        <f t="shared" ref="V232:V254" si="72">(T232 * 0.0188) + 0.00158</f>
        <v>2.0462532964761488E-2</v>
      </c>
      <c r="X232">
        <f t="shared" ref="X232:X254" si="73">$AE$4</f>
        <v>91.25</v>
      </c>
      <c r="Y232">
        <f t="shared" ref="Y232:Y254" si="74">U232*V232*X232</f>
        <v>37.344122660689713</v>
      </c>
    </row>
    <row r="233" spans="1:26" x14ac:dyDescent="0.2">
      <c r="D233" t="s">
        <v>82</v>
      </c>
      <c r="F233">
        <v>0</v>
      </c>
      <c r="G233">
        <v>0</v>
      </c>
      <c r="H233">
        <v>0</v>
      </c>
      <c r="K233">
        <f>$AE$23</f>
        <v>2.2000000000000002</v>
      </c>
      <c r="L233" s="2">
        <v>0.52</v>
      </c>
      <c r="M233" s="2">
        <v>0.52</v>
      </c>
      <c r="N233">
        <f t="shared" si="69"/>
        <v>0.41200000000000003</v>
      </c>
      <c r="P233">
        <f>$AE$78</f>
        <v>63</v>
      </c>
      <c r="Q233">
        <f t="shared" ref="Q233:Q238" si="75">(104.7 * N233 + 0.307 * P233- 15) * POWER(P233, 0.75) * 10^-3</f>
        <v>1.0616768308982532</v>
      </c>
      <c r="R233">
        <f t="shared" si="70"/>
        <v>0.99993747849622516</v>
      </c>
      <c r="S233">
        <v>1</v>
      </c>
      <c r="T233">
        <f t="shared" si="71"/>
        <v>1.0616104532662625</v>
      </c>
      <c r="U233">
        <v>19</v>
      </c>
      <c r="V233">
        <f t="shared" si="72"/>
        <v>2.1538276521405737E-2</v>
      </c>
      <c r="X233">
        <f t="shared" si="73"/>
        <v>91.25</v>
      </c>
      <c r="Y233">
        <f t="shared" si="74"/>
        <v>37.341986918987196</v>
      </c>
    </row>
    <row r="234" spans="1:26" x14ac:dyDescent="0.2">
      <c r="D234" t="s">
        <v>83</v>
      </c>
      <c r="F234">
        <v>0</v>
      </c>
      <c r="G234">
        <v>0</v>
      </c>
      <c r="H234">
        <v>0</v>
      </c>
      <c r="K234">
        <f>$AE$24</f>
        <v>1.7</v>
      </c>
      <c r="L234" s="2">
        <v>0.53</v>
      </c>
      <c r="M234" s="2">
        <v>0.53</v>
      </c>
      <c r="N234">
        <f t="shared" si="69"/>
        <v>0.41995000000000005</v>
      </c>
      <c r="P234">
        <f>$AE$79</f>
        <v>60</v>
      </c>
      <c r="Q234">
        <f t="shared" si="75"/>
        <v>1.0216186875211368</v>
      </c>
      <c r="R234">
        <f t="shared" si="70"/>
        <v>0.99691128459176326</v>
      </c>
      <c r="S234">
        <v>1</v>
      </c>
      <c r="T234">
        <f t="shared" si="71"/>
        <v>1.0184631981396477</v>
      </c>
      <c r="U234">
        <v>25</v>
      </c>
      <c r="V234">
        <f t="shared" si="72"/>
        <v>2.072710812502538E-2</v>
      </c>
      <c r="X234">
        <f t="shared" si="73"/>
        <v>91.25</v>
      </c>
      <c r="Y234">
        <f t="shared" si="74"/>
        <v>47.28371541021415</v>
      </c>
    </row>
    <row r="235" spans="1:26" x14ac:dyDescent="0.2">
      <c r="A235">
        <v>2</v>
      </c>
      <c r="C235" t="s">
        <v>73</v>
      </c>
      <c r="D235" t="s">
        <v>80</v>
      </c>
      <c r="F235">
        <v>0</v>
      </c>
      <c r="G235">
        <v>0</v>
      </c>
      <c r="H235">
        <v>0</v>
      </c>
      <c r="K235">
        <f>$AF$21</f>
        <v>1.5</v>
      </c>
      <c r="L235" s="2">
        <v>0.5</v>
      </c>
      <c r="M235" s="2">
        <v>0.5</v>
      </c>
      <c r="N235">
        <f t="shared" si="69"/>
        <v>0.39610000000000001</v>
      </c>
      <c r="P235">
        <f>$AF$76</f>
        <v>50</v>
      </c>
      <c r="Q235">
        <f t="shared" si="75"/>
        <v>0.78637350780019211</v>
      </c>
      <c r="R235">
        <f t="shared" si="70"/>
        <v>0.98889100346175773</v>
      </c>
      <c r="S235">
        <v>1</v>
      </c>
      <c r="T235">
        <f t="shared" si="71"/>
        <v>0.7776376872242744</v>
      </c>
      <c r="U235">
        <v>50</v>
      </c>
      <c r="V235">
        <f t="shared" si="72"/>
        <v>1.6199588519816361E-2</v>
      </c>
      <c r="X235">
        <f t="shared" si="73"/>
        <v>91.25</v>
      </c>
      <c r="Y235">
        <f t="shared" si="74"/>
        <v>73.910622621662142</v>
      </c>
    </row>
    <row r="236" spans="1:26" x14ac:dyDescent="0.2">
      <c r="D236" t="s">
        <v>81</v>
      </c>
      <c r="F236">
        <v>0</v>
      </c>
      <c r="G236">
        <v>0</v>
      </c>
      <c r="H236">
        <v>0</v>
      </c>
      <c r="K236">
        <f>$AF$22</f>
        <v>2</v>
      </c>
      <c r="L236" s="2">
        <v>0.51</v>
      </c>
      <c r="M236" s="2">
        <v>0.51</v>
      </c>
      <c r="N236">
        <f t="shared" si="69"/>
        <v>0.40405000000000002</v>
      </c>
      <c r="P236">
        <f>$AF$77</f>
        <v>55</v>
      </c>
      <c r="Q236">
        <f t="shared" si="75"/>
        <v>0.89245542667763567</v>
      </c>
      <c r="R236">
        <f t="shared" si="70"/>
        <v>0.99966453737209748</v>
      </c>
      <c r="S236">
        <v>1</v>
      </c>
      <c r="T236">
        <f t="shared" si="71"/>
        <v>0.89215604123491654</v>
      </c>
      <c r="U236">
        <v>60</v>
      </c>
      <c r="V236">
        <f t="shared" si="72"/>
        <v>1.8352533575216434E-2</v>
      </c>
      <c r="X236">
        <f t="shared" si="73"/>
        <v>91.25</v>
      </c>
      <c r="Y236">
        <f t="shared" si="74"/>
        <v>100.48012132430998</v>
      </c>
    </row>
    <row r="237" spans="1:26" x14ac:dyDescent="0.2">
      <c r="D237" t="s">
        <v>82</v>
      </c>
      <c r="F237">
        <v>0</v>
      </c>
      <c r="G237">
        <v>0</v>
      </c>
      <c r="H237">
        <v>0</v>
      </c>
      <c r="K237">
        <f>$AF$23</f>
        <v>2.2000000000000002</v>
      </c>
      <c r="L237" s="2">
        <v>0.52</v>
      </c>
      <c r="M237" s="2">
        <v>0.52</v>
      </c>
      <c r="N237">
        <f t="shared" si="69"/>
        <v>0.41200000000000003</v>
      </c>
      <c r="P237">
        <f>$AF$78</f>
        <v>55</v>
      </c>
      <c r="Q237">
        <f t="shared" si="75"/>
        <v>0.90926612782163052</v>
      </c>
      <c r="R237">
        <f t="shared" si="70"/>
        <v>0.99993747849622516</v>
      </c>
      <c r="S237">
        <v>1</v>
      </c>
      <c r="T237">
        <f t="shared" si="71"/>
        <v>0.90920927913598759</v>
      </c>
      <c r="U237">
        <v>55</v>
      </c>
      <c r="V237">
        <f t="shared" si="72"/>
        <v>1.8673134447756569E-2</v>
      </c>
      <c r="X237">
        <f t="shared" si="73"/>
        <v>91.25</v>
      </c>
      <c r="Y237">
        <f t="shared" si="74"/>
        <v>93.715793509678278</v>
      </c>
    </row>
    <row r="238" spans="1:26" x14ac:dyDescent="0.2">
      <c r="D238" t="s">
        <v>83</v>
      </c>
      <c r="F238">
        <v>0</v>
      </c>
      <c r="G238">
        <v>0</v>
      </c>
      <c r="H238">
        <v>0</v>
      </c>
      <c r="K238">
        <f>$AF$24</f>
        <v>1.7</v>
      </c>
      <c r="L238" s="2">
        <v>0.53</v>
      </c>
      <c r="M238" s="2">
        <v>0.53</v>
      </c>
      <c r="N238">
        <f t="shared" si="69"/>
        <v>0.41995000000000005</v>
      </c>
      <c r="P238">
        <f>$AF$79</f>
        <v>50</v>
      </c>
      <c r="Q238">
        <f t="shared" si="75"/>
        <v>0.83332642370384502</v>
      </c>
      <c r="R238">
        <f t="shared" si="70"/>
        <v>0.99691128459176326</v>
      </c>
      <c r="S238">
        <v>1</v>
      </c>
      <c r="T238">
        <f t="shared" si="71"/>
        <v>0.83075251553886009</v>
      </c>
      <c r="U238">
        <v>55</v>
      </c>
      <c r="V238">
        <f t="shared" si="72"/>
        <v>1.719814729213057E-2</v>
      </c>
      <c r="X238">
        <f t="shared" si="73"/>
        <v>91.25</v>
      </c>
      <c r="Y238">
        <f t="shared" si="74"/>
        <v>86.313201722380299</v>
      </c>
    </row>
    <row r="239" spans="1:26" x14ac:dyDescent="0.2">
      <c r="A239">
        <v>3</v>
      </c>
      <c r="C239" t="s">
        <v>74</v>
      </c>
      <c r="D239" t="s">
        <v>80</v>
      </c>
      <c r="F239">
        <v>92</v>
      </c>
      <c r="G239">
        <v>87</v>
      </c>
      <c r="H239">
        <f>(F239/100*MIN(G239,100)/100)</f>
        <v>0.80040000000000011</v>
      </c>
      <c r="I239">
        <f>$AE$3</f>
        <v>1.3</v>
      </c>
      <c r="K239">
        <f>$AG$21</f>
        <v>1.5</v>
      </c>
      <c r="L239" s="2">
        <v>0.53</v>
      </c>
      <c r="M239" s="2">
        <v>0.53</v>
      </c>
      <c r="N239">
        <f t="shared" si="69"/>
        <v>0.41995000000000005</v>
      </c>
      <c r="P239">
        <f>$AG$76</f>
        <v>35</v>
      </c>
      <c r="Q239">
        <f>(104.7 * N239 + 0.307 * P239- 15) * POWER(P239, 0.75) * 10^-3</f>
        <v>0.57146823458155449</v>
      </c>
      <c r="R239">
        <f t="shared" si="70"/>
        <v>0.98889100346175773</v>
      </c>
      <c r="S239">
        <f>(H239 * I239) + (1 - H239)</f>
        <v>1.2401200000000001</v>
      </c>
      <c r="T239">
        <f t="shared" si="71"/>
        <v>0.70081636134343506</v>
      </c>
      <c r="U239">
        <v>60</v>
      </c>
      <c r="V239">
        <f t="shared" si="72"/>
        <v>1.475534759325658E-2</v>
      </c>
      <c r="X239">
        <f t="shared" si="73"/>
        <v>91.25</v>
      </c>
      <c r="Y239">
        <f t="shared" si="74"/>
        <v>80.785528073079774</v>
      </c>
    </row>
    <row r="240" spans="1:26" x14ac:dyDescent="0.2">
      <c r="D240" t="s">
        <v>81</v>
      </c>
      <c r="F240">
        <v>0</v>
      </c>
      <c r="G240">
        <v>0</v>
      </c>
      <c r="H240">
        <f>(F240/100*MIN(G240,100)/100)</f>
        <v>0</v>
      </c>
      <c r="K240">
        <f>$AG$22</f>
        <v>2</v>
      </c>
      <c r="L240" s="2">
        <v>0.53</v>
      </c>
      <c r="M240" s="2">
        <v>0.53</v>
      </c>
      <c r="N240">
        <f t="shared" si="69"/>
        <v>0.41995000000000005</v>
      </c>
      <c r="P240">
        <f>$AG$77</f>
        <v>40</v>
      </c>
      <c r="Q240">
        <f t="shared" ref="Q240:Q254" si="76">(104.7 * N240 + 0.307 * P240- 15) * POWER(P240, 0.75) * 10^-3</f>
        <v>0.65607870804581636</v>
      </c>
      <c r="R240">
        <f t="shared" si="70"/>
        <v>0.99966453737209748</v>
      </c>
      <c r="S240">
        <f t="shared" ref="S240:S246" si="77">(H240 * I240) + (1 - H240)</f>
        <v>1</v>
      </c>
      <c r="T240">
        <f t="shared" si="71"/>
        <v>0.65585861815830437</v>
      </c>
      <c r="U240">
        <v>70</v>
      </c>
      <c r="V240">
        <f t="shared" si="72"/>
        <v>1.3910142021376122E-2</v>
      </c>
      <c r="X240">
        <f t="shared" si="73"/>
        <v>91.25</v>
      </c>
      <c r="Y240">
        <f t="shared" si="74"/>
        <v>88.851032161539976</v>
      </c>
    </row>
    <row r="241" spans="1:25" x14ac:dyDescent="0.2">
      <c r="D241" t="s">
        <v>82</v>
      </c>
      <c r="F241">
        <v>0</v>
      </c>
      <c r="G241">
        <v>0</v>
      </c>
      <c r="H241">
        <f t="shared" ref="H241:H243" si="78">(F241/100*MIN(G241,100)/100)</f>
        <v>0</v>
      </c>
      <c r="K241">
        <f>$AG$23</f>
        <v>2.2000000000000002</v>
      </c>
      <c r="L241" s="2">
        <v>0.53</v>
      </c>
      <c r="M241" s="2">
        <v>0.53</v>
      </c>
      <c r="N241">
        <f t="shared" si="69"/>
        <v>0.41995000000000005</v>
      </c>
      <c r="P241">
        <f>$AG$78</f>
        <v>40</v>
      </c>
      <c r="Q241">
        <f t="shared" si="76"/>
        <v>0.65607870804581636</v>
      </c>
      <c r="R241">
        <f t="shared" si="70"/>
        <v>0.99993747849622516</v>
      </c>
      <c r="S241">
        <f t="shared" si="77"/>
        <v>1</v>
      </c>
      <c r="T241">
        <f t="shared" si="71"/>
        <v>0.65603768901839465</v>
      </c>
      <c r="U241">
        <v>60</v>
      </c>
      <c r="V241">
        <f t="shared" si="72"/>
        <v>1.391350855354582E-2</v>
      </c>
      <c r="X241">
        <f t="shared" si="73"/>
        <v>91.25</v>
      </c>
      <c r="Y241">
        <f t="shared" si="74"/>
        <v>76.176459330663363</v>
      </c>
    </row>
    <row r="242" spans="1:25" x14ac:dyDescent="0.2">
      <c r="D242" t="s">
        <v>83</v>
      </c>
      <c r="F242">
        <v>0</v>
      </c>
      <c r="G242">
        <v>0</v>
      </c>
      <c r="H242">
        <f t="shared" si="78"/>
        <v>0</v>
      </c>
      <c r="K242">
        <f>$AG$24</f>
        <v>1.7</v>
      </c>
      <c r="L242" s="2">
        <v>0.53</v>
      </c>
      <c r="M242" s="2">
        <v>0.53</v>
      </c>
      <c r="N242">
        <f t="shared" si="69"/>
        <v>0.41995000000000005</v>
      </c>
      <c r="P242">
        <f>$AG$79</f>
        <v>35</v>
      </c>
      <c r="Q242">
        <f t="shared" si="76"/>
        <v>0.57146823458155449</v>
      </c>
      <c r="R242">
        <f t="shared" si="70"/>
        <v>0.99691128459176326</v>
      </c>
      <c r="S242">
        <f t="shared" si="77"/>
        <v>1</v>
      </c>
      <c r="T242">
        <f t="shared" si="71"/>
        <v>0.56970313184008459</v>
      </c>
      <c r="U242">
        <v>50</v>
      </c>
      <c r="V242">
        <f t="shared" si="72"/>
        <v>1.2290418878593591E-2</v>
      </c>
      <c r="X242">
        <f t="shared" si="73"/>
        <v>91.25</v>
      </c>
      <c r="Y242">
        <f t="shared" si="74"/>
        <v>56.075036133583261</v>
      </c>
    </row>
    <row r="243" spans="1:25" x14ac:dyDescent="0.2">
      <c r="A243">
        <v>4</v>
      </c>
      <c r="C243" t="s">
        <v>75</v>
      </c>
      <c r="D243" t="s">
        <v>80</v>
      </c>
      <c r="F243">
        <v>95</v>
      </c>
      <c r="G243">
        <v>88</v>
      </c>
      <c r="H243">
        <f t="shared" si="78"/>
        <v>0.83599999999999997</v>
      </c>
      <c r="I243">
        <f>$AE$3</f>
        <v>1.3</v>
      </c>
      <c r="K243">
        <f>$AH$21</f>
        <v>1.5</v>
      </c>
      <c r="M243">
        <f>$AH$49</f>
        <v>0.51</v>
      </c>
      <c r="N243">
        <f t="shared" si="69"/>
        <v>0.40405000000000002</v>
      </c>
      <c r="P243">
        <f>$AH$76</f>
        <v>40</v>
      </c>
      <c r="Q243">
        <f t="shared" si="76"/>
        <v>0.62960048723980899</v>
      </c>
      <c r="R243">
        <f t="shared" si="70"/>
        <v>0.98889100346175773</v>
      </c>
      <c r="S243">
        <f t="shared" si="77"/>
        <v>1.2507999999999999</v>
      </c>
      <c r="T243">
        <f t="shared" si="71"/>
        <v>0.77875590701431807</v>
      </c>
      <c r="U243">
        <v>40</v>
      </c>
      <c r="V243">
        <f t="shared" si="72"/>
        <v>1.6220611051869182E-2</v>
      </c>
      <c r="X243">
        <f t="shared" si="73"/>
        <v>91.25</v>
      </c>
      <c r="Y243">
        <f t="shared" si="74"/>
        <v>59.205230339322519</v>
      </c>
    </row>
    <row r="244" spans="1:25" x14ac:dyDescent="0.2">
      <c r="D244" t="s">
        <v>81</v>
      </c>
      <c r="F244">
        <v>0</v>
      </c>
      <c r="G244">
        <v>0</v>
      </c>
      <c r="H244">
        <v>0</v>
      </c>
      <c r="K244">
        <f>$AH$22</f>
        <v>2</v>
      </c>
      <c r="M244">
        <f>$AH$50</f>
        <v>0.55000000000000004</v>
      </c>
      <c r="N244">
        <f t="shared" si="69"/>
        <v>0.43585000000000007</v>
      </c>
      <c r="P244">
        <f>$AH$77</f>
        <v>45</v>
      </c>
      <c r="Q244">
        <f t="shared" si="76"/>
        <v>0.77226516609487061</v>
      </c>
      <c r="R244">
        <f t="shared" si="70"/>
        <v>0.99966453737209748</v>
      </c>
      <c r="S244">
        <f t="shared" si="77"/>
        <v>1</v>
      </c>
      <c r="T244">
        <f t="shared" si="71"/>
        <v>0.77200609999281489</v>
      </c>
      <c r="U244">
        <v>45</v>
      </c>
      <c r="V244">
        <f t="shared" si="72"/>
        <v>1.609371467986492E-2</v>
      </c>
      <c r="X244">
        <f t="shared" si="73"/>
        <v>91.25</v>
      </c>
      <c r="Y244">
        <f t="shared" si="74"/>
        <v>66.084815904195324</v>
      </c>
    </row>
    <row r="245" spans="1:25" x14ac:dyDescent="0.2">
      <c r="D245" t="s">
        <v>82</v>
      </c>
      <c r="F245">
        <v>0</v>
      </c>
      <c r="G245">
        <v>0</v>
      </c>
      <c r="H245">
        <v>0</v>
      </c>
      <c r="K245">
        <f>$AH$23</f>
        <v>2.2000000000000002</v>
      </c>
      <c r="M245">
        <f>$AH$51</f>
        <v>0.59</v>
      </c>
      <c r="N245">
        <f t="shared" si="69"/>
        <v>0.46765000000000001</v>
      </c>
      <c r="P245">
        <f>$AH$78</f>
        <v>45</v>
      </c>
      <c r="Q245">
        <f t="shared" si="76"/>
        <v>0.8301124785833186</v>
      </c>
      <c r="R245">
        <f t="shared" si="70"/>
        <v>0.99993747849622516</v>
      </c>
      <c r="S245">
        <f t="shared" si="77"/>
        <v>1</v>
      </c>
      <c r="T245">
        <f t="shared" si="71"/>
        <v>0.83006057870285532</v>
      </c>
      <c r="U245">
        <v>40</v>
      </c>
      <c r="V245">
        <f t="shared" si="72"/>
        <v>1.7185138879613683E-2</v>
      </c>
      <c r="X245">
        <f t="shared" si="73"/>
        <v>91.25</v>
      </c>
      <c r="Y245">
        <f t="shared" si="74"/>
        <v>62.725756910589936</v>
      </c>
    </row>
    <row r="246" spans="1:25" x14ac:dyDescent="0.2">
      <c r="D246" t="s">
        <v>83</v>
      </c>
      <c r="F246">
        <v>0</v>
      </c>
      <c r="G246">
        <v>0</v>
      </c>
      <c r="H246">
        <v>0</v>
      </c>
      <c r="K246">
        <f>$AH$24</f>
        <v>1.7</v>
      </c>
      <c r="M246">
        <f>$AH$52</f>
        <v>0.57999999999999996</v>
      </c>
      <c r="N246">
        <f t="shared" si="69"/>
        <v>0.4597</v>
      </c>
      <c r="P246">
        <f>$AH$79</f>
        <v>42</v>
      </c>
      <c r="Q246">
        <f t="shared" si="76"/>
        <v>0.7593235966549482</v>
      </c>
      <c r="R246">
        <f t="shared" si="70"/>
        <v>0.99691128459176326</v>
      </c>
      <c r="S246">
        <f t="shared" si="77"/>
        <v>1</v>
      </c>
      <c r="T246">
        <f t="shared" si="71"/>
        <v>0.75697826216212227</v>
      </c>
      <c r="U246">
        <v>35</v>
      </c>
      <c r="V246">
        <f t="shared" si="72"/>
        <v>1.5811191328647899E-2</v>
      </c>
      <c r="X246">
        <f t="shared" si="73"/>
        <v>91.25</v>
      </c>
      <c r="Y246">
        <f t="shared" si="74"/>
        <v>50.496992305869227</v>
      </c>
    </row>
    <row r="247" spans="1:25" x14ac:dyDescent="0.2">
      <c r="A247">
        <v>5</v>
      </c>
      <c r="C247" t="s">
        <v>76</v>
      </c>
      <c r="D247" t="s">
        <v>80</v>
      </c>
      <c r="F247">
        <v>0</v>
      </c>
      <c r="G247">
        <v>0</v>
      </c>
      <c r="H247">
        <v>0</v>
      </c>
      <c r="K247">
        <f>$AI$21</f>
        <v>1.5</v>
      </c>
      <c r="M247">
        <f>$AI$49</f>
        <v>0.51</v>
      </c>
      <c r="N247">
        <f t="shared" si="69"/>
        <v>0.40405000000000002</v>
      </c>
      <c r="P247">
        <f>$AI$76</f>
        <v>45</v>
      </c>
      <c r="Q247">
        <f t="shared" si="76"/>
        <v>0.71441785360642229</v>
      </c>
      <c r="R247">
        <f t="shared" si="70"/>
        <v>0.98889100346175773</v>
      </c>
      <c r="S247">
        <v>1</v>
      </c>
      <c r="T247">
        <f t="shared" si="71"/>
        <v>0.70648138814385009</v>
      </c>
      <c r="U247">
        <v>25</v>
      </c>
      <c r="V247">
        <f t="shared" si="72"/>
        <v>1.4861850097104381E-2</v>
      </c>
      <c r="X247">
        <f t="shared" si="73"/>
        <v>91.25</v>
      </c>
      <c r="Y247">
        <f t="shared" si="74"/>
        <v>33.903595534019367</v>
      </c>
    </row>
    <row r="248" spans="1:25" x14ac:dyDescent="0.2">
      <c r="D248" t="s">
        <v>81</v>
      </c>
      <c r="F248">
        <v>0</v>
      </c>
      <c r="G248">
        <v>0</v>
      </c>
      <c r="H248">
        <v>0</v>
      </c>
      <c r="K248">
        <f>$AI$22</f>
        <v>2</v>
      </c>
      <c r="M248">
        <f>$AI$50</f>
        <v>0.55000000000000004</v>
      </c>
      <c r="N248">
        <f t="shared" si="69"/>
        <v>0.43585000000000007</v>
      </c>
      <c r="P248">
        <f>$AI$77</f>
        <v>50</v>
      </c>
      <c r="Q248">
        <f t="shared" si="76"/>
        <v>0.8646283676396137</v>
      </c>
      <c r="R248">
        <f t="shared" si="70"/>
        <v>0.99966453737209748</v>
      </c>
      <c r="S248">
        <v>1</v>
      </c>
      <c r="T248">
        <f t="shared" si="71"/>
        <v>0.86433831713524623</v>
      </c>
      <c r="U248">
        <v>30</v>
      </c>
      <c r="V248">
        <f t="shared" si="72"/>
        <v>1.782956036214263E-2</v>
      </c>
      <c r="X248">
        <f t="shared" si="73"/>
        <v>91.25</v>
      </c>
      <c r="Y248">
        <f t="shared" si="74"/>
        <v>48.808421491365451</v>
      </c>
    </row>
    <row r="249" spans="1:25" x14ac:dyDescent="0.2">
      <c r="D249" t="s">
        <v>82</v>
      </c>
      <c r="F249">
        <v>0</v>
      </c>
      <c r="G249">
        <v>0</v>
      </c>
      <c r="H249">
        <v>0</v>
      </c>
      <c r="K249">
        <f>$AI$23</f>
        <v>2.2000000000000002</v>
      </c>
      <c r="M249">
        <f>$AI$51</f>
        <v>0.59</v>
      </c>
      <c r="N249">
        <f t="shared" si="69"/>
        <v>0.46765000000000001</v>
      </c>
      <c r="P249">
        <f>$AI$78</f>
        <v>50</v>
      </c>
      <c r="Q249">
        <f t="shared" si="76"/>
        <v>0.92723225551115063</v>
      </c>
      <c r="R249">
        <f t="shared" si="70"/>
        <v>0.99993747849622516</v>
      </c>
      <c r="S249">
        <v>1</v>
      </c>
      <c r="T249">
        <f t="shared" si="71"/>
        <v>0.92717428355618758</v>
      </c>
      <c r="U249">
        <v>25</v>
      </c>
      <c r="V249">
        <f t="shared" si="72"/>
        <v>1.9010876530856327E-2</v>
      </c>
      <c r="X249">
        <f t="shared" si="73"/>
        <v>91.25</v>
      </c>
      <c r="Y249">
        <f t="shared" si="74"/>
        <v>43.368562086015991</v>
      </c>
    </row>
    <row r="250" spans="1:25" x14ac:dyDescent="0.2">
      <c r="D250" t="s">
        <v>83</v>
      </c>
      <c r="F250">
        <v>0</v>
      </c>
      <c r="G250">
        <v>0</v>
      </c>
      <c r="H250">
        <v>0</v>
      </c>
      <c r="K250">
        <f>$AI$24</f>
        <v>1.7</v>
      </c>
      <c r="M250">
        <f>$AI$52</f>
        <v>0.57999999999999996</v>
      </c>
      <c r="N250">
        <f t="shared" si="69"/>
        <v>0.4597</v>
      </c>
      <c r="P250">
        <f>$AI$79</f>
        <v>48</v>
      </c>
      <c r="Q250">
        <f t="shared" si="76"/>
        <v>0.87289783757888828</v>
      </c>
      <c r="R250">
        <f t="shared" si="70"/>
        <v>0.99691128459176326</v>
      </c>
      <c r="S250">
        <v>1</v>
      </c>
      <c r="T250">
        <f t="shared" si="71"/>
        <v>0.87020170457814183</v>
      </c>
      <c r="U250">
        <v>20</v>
      </c>
      <c r="V250">
        <f t="shared" si="72"/>
        <v>1.7939792046069068E-2</v>
      </c>
      <c r="X250">
        <f t="shared" si="73"/>
        <v>91.25</v>
      </c>
      <c r="Y250">
        <f t="shared" si="74"/>
        <v>32.740120484076051</v>
      </c>
    </row>
    <row r="251" spans="1:25" x14ac:dyDescent="0.2">
      <c r="A251">
        <v>6</v>
      </c>
      <c r="C251" t="s">
        <v>77</v>
      </c>
      <c r="D251" t="s">
        <v>80</v>
      </c>
      <c r="F251">
        <v>0</v>
      </c>
      <c r="G251">
        <v>0</v>
      </c>
      <c r="H251">
        <v>0</v>
      </c>
      <c r="K251">
        <f>$AJ$21</f>
        <v>1.5</v>
      </c>
      <c r="M251">
        <f>$AJ$49</f>
        <v>0.51</v>
      </c>
      <c r="N251">
        <f t="shared" si="69"/>
        <v>0.40405000000000002</v>
      </c>
      <c r="P251">
        <f>$AJ$76</f>
        <v>20</v>
      </c>
      <c r="Q251">
        <f t="shared" si="76"/>
        <v>0.31629415472458533</v>
      </c>
      <c r="R251">
        <f t="shared" si="70"/>
        <v>0.98889100346175773</v>
      </c>
      <c r="S251">
        <v>1</v>
      </c>
      <c r="T251">
        <f t="shared" si="71"/>
        <v>0.31278044405468364</v>
      </c>
      <c r="U251">
        <v>15</v>
      </c>
      <c r="V251">
        <f t="shared" si="72"/>
        <v>7.4602723482280527E-3</v>
      </c>
      <c r="X251">
        <f t="shared" si="73"/>
        <v>91.25</v>
      </c>
      <c r="Y251">
        <f t="shared" si="74"/>
        <v>10.211247776637148</v>
      </c>
    </row>
    <row r="252" spans="1:25" x14ac:dyDescent="0.2">
      <c r="D252" t="s">
        <v>81</v>
      </c>
      <c r="F252">
        <v>0</v>
      </c>
      <c r="G252">
        <v>0</v>
      </c>
      <c r="H252">
        <v>0</v>
      </c>
      <c r="K252">
        <f>$AJ$22</f>
        <v>2</v>
      </c>
      <c r="M252">
        <f>$AJ$50</f>
        <v>0.55000000000000004</v>
      </c>
      <c r="N252">
        <f t="shared" si="69"/>
        <v>0.43585000000000007</v>
      </c>
      <c r="P252">
        <f>$AJ$77</f>
        <v>25</v>
      </c>
      <c r="Q252">
        <f t="shared" si="76"/>
        <v>0.42830199467855401</v>
      </c>
      <c r="R252">
        <f t="shared" si="70"/>
        <v>0.99966453737209748</v>
      </c>
      <c r="S252">
        <v>1</v>
      </c>
      <c r="T252">
        <f t="shared" si="71"/>
        <v>0.42815831536588328</v>
      </c>
      <c r="U252">
        <v>45</v>
      </c>
      <c r="V252">
        <f t="shared" si="72"/>
        <v>9.6293763288786052E-3</v>
      </c>
      <c r="X252">
        <f t="shared" si="73"/>
        <v>91.25</v>
      </c>
      <c r="Y252">
        <f t="shared" si="74"/>
        <v>39.540626550457773</v>
      </c>
    </row>
    <row r="253" spans="1:25" x14ac:dyDescent="0.2">
      <c r="D253" t="s">
        <v>82</v>
      </c>
      <c r="F253">
        <v>0</v>
      </c>
      <c r="G253">
        <v>0</v>
      </c>
      <c r="H253">
        <v>0</v>
      </c>
      <c r="K253">
        <f>$AJ$23</f>
        <v>2.2000000000000002</v>
      </c>
      <c r="M253">
        <f>$AJ$51</f>
        <v>0.59</v>
      </c>
      <c r="N253">
        <f t="shared" si="69"/>
        <v>0.46765000000000001</v>
      </c>
      <c r="P253">
        <f>$AJ$78</f>
        <v>20</v>
      </c>
      <c r="Q253">
        <f t="shared" si="76"/>
        <v>0.37927033187481962</v>
      </c>
      <c r="R253">
        <f t="shared" si="70"/>
        <v>0.99993747849622516</v>
      </c>
      <c r="S253">
        <v>1</v>
      </c>
      <c r="T253">
        <f t="shared" si="71"/>
        <v>0.37924661932333364</v>
      </c>
      <c r="U253">
        <v>40</v>
      </c>
      <c r="V253">
        <f t="shared" si="72"/>
        <v>8.7098364432786728E-3</v>
      </c>
      <c r="X253">
        <f t="shared" si="73"/>
        <v>91.25</v>
      </c>
      <c r="Y253">
        <f t="shared" si="74"/>
        <v>31.790903017967157</v>
      </c>
    </row>
    <row r="254" spans="1:25" x14ac:dyDescent="0.2">
      <c r="D254" t="s">
        <v>83</v>
      </c>
      <c r="F254">
        <v>0</v>
      </c>
      <c r="G254">
        <v>0</v>
      </c>
      <c r="H254">
        <v>0</v>
      </c>
      <c r="K254">
        <f>$AJ$24</f>
        <v>1.7</v>
      </c>
      <c r="M254">
        <f>$AJ$52</f>
        <v>0.57999999999999996</v>
      </c>
      <c r="N254">
        <f t="shared" si="69"/>
        <v>0.4597</v>
      </c>
      <c r="P254">
        <f>$AJ$79</f>
        <v>25</v>
      </c>
      <c r="Q254">
        <f t="shared" si="76"/>
        <v>0.45622036550992806</v>
      </c>
      <c r="R254">
        <f t="shared" si="70"/>
        <v>0.99691128459176326</v>
      </c>
      <c r="S254">
        <v>1</v>
      </c>
      <c r="T254">
        <f t="shared" si="71"/>
        <v>0.45481123063742612</v>
      </c>
      <c r="U254">
        <v>30</v>
      </c>
      <c r="V254">
        <f t="shared" si="72"/>
        <v>1.0130451135983612E-2</v>
      </c>
      <c r="X254">
        <f t="shared" si="73"/>
        <v>91.25</v>
      </c>
      <c r="Y254">
        <f t="shared" si="74"/>
        <v>27.732109984755141</v>
      </c>
    </row>
    <row r="261" spans="1:26" x14ac:dyDescent="0.2">
      <c r="A261" t="s">
        <v>101</v>
      </c>
      <c r="B261" t="s">
        <v>100</v>
      </c>
      <c r="C261" t="s">
        <v>72</v>
      </c>
      <c r="D261" t="s">
        <v>80</v>
      </c>
      <c r="F261">
        <v>0</v>
      </c>
      <c r="G261">
        <v>0</v>
      </c>
      <c r="H261">
        <v>0</v>
      </c>
      <c r="K261">
        <f>$AE$25</f>
        <v>4</v>
      </c>
      <c r="M261">
        <f>$AE$53</f>
        <v>0.7</v>
      </c>
      <c r="N261">
        <f>(0.795 * M261) - 0.0014</f>
        <v>0.55510000000000004</v>
      </c>
      <c r="O261" s="2">
        <v>79</v>
      </c>
      <c r="P261" s="2">
        <v>79</v>
      </c>
      <c r="Q261">
        <f>(104.7 * N261 + 0.307 * P261- 15) * POWER(P261, 0.75) * 10^-3</f>
        <v>1.7852521511708519</v>
      </c>
      <c r="R261">
        <f>1-EXP(-2*POWER(K261,2))</f>
        <v>0.99999999999998734</v>
      </c>
      <c r="S261">
        <v>1</v>
      </c>
      <c r="T261">
        <f>Q261 * R261 * S261</f>
        <v>1.7852521511708292</v>
      </c>
      <c r="U261">
        <v>25</v>
      </c>
      <c r="V261">
        <f>(T261 * 0.0188) + 0.00158</f>
        <v>3.5142740442011593E-2</v>
      </c>
      <c r="X261">
        <f>$AE$4</f>
        <v>91.25</v>
      </c>
      <c r="Y261">
        <f>U261*V261*X261</f>
        <v>80.169376633338942</v>
      </c>
      <c r="Z261">
        <f>SUM(Y261:Y284)*10^-3</f>
        <v>2.1235281477198638</v>
      </c>
    </row>
    <row r="262" spans="1:26" x14ac:dyDescent="0.2">
      <c r="D262" t="s">
        <v>81</v>
      </c>
      <c r="F262">
        <v>0</v>
      </c>
      <c r="G262">
        <v>0</v>
      </c>
      <c r="H262">
        <v>0</v>
      </c>
      <c r="K262">
        <f>$AE$26</f>
        <v>2.5</v>
      </c>
      <c r="M262">
        <f>$AE$54</f>
        <v>0.55000000000000004</v>
      </c>
      <c r="N262">
        <f t="shared" ref="N262:N284" si="79">(0.795 * M262) - 0.0014</f>
        <v>0.43585000000000007</v>
      </c>
      <c r="O262" s="2">
        <v>78</v>
      </c>
      <c r="P262" s="2">
        <v>78</v>
      </c>
      <c r="Q262">
        <f>(104.7 * N262 + 0.307 * P262- 15) * POWER(P262, 0.75) * 10^-3</f>
        <v>1.4325192446096717</v>
      </c>
      <c r="R262">
        <f t="shared" ref="R262:R284" si="80">1-EXP(-2*POWER(K262,2))</f>
        <v>0.99999627334682795</v>
      </c>
      <c r="S262">
        <v>1</v>
      </c>
      <c r="T262">
        <f t="shared" ref="T262:T284" si="81">Q262 * R262 * S262</f>
        <v>1.4325139061072847</v>
      </c>
      <c r="U262">
        <v>20</v>
      </c>
      <c r="V262">
        <f t="shared" ref="V262:V284" si="82">(T262 * 0.0188) + 0.00158</f>
        <v>2.8511261434816956E-2</v>
      </c>
      <c r="X262">
        <f t="shared" ref="X262:X284" si="83">$AE$4</f>
        <v>91.25</v>
      </c>
      <c r="Y262">
        <f t="shared" ref="Y262:Y284" si="84">U262*V262*X262</f>
        <v>52.033052118540951</v>
      </c>
    </row>
    <row r="263" spans="1:26" x14ac:dyDescent="0.2">
      <c r="D263" t="s">
        <v>82</v>
      </c>
      <c r="F263">
        <v>0</v>
      </c>
      <c r="G263">
        <v>0</v>
      </c>
      <c r="H263">
        <v>0</v>
      </c>
      <c r="K263">
        <f>$AE$27</f>
        <v>0.7</v>
      </c>
      <c r="M263">
        <f>$AE$55</f>
        <v>0.55000000000000004</v>
      </c>
      <c r="N263">
        <f t="shared" si="79"/>
        <v>0.43585000000000007</v>
      </c>
      <c r="O263" s="2">
        <v>77</v>
      </c>
      <c r="P263" s="2">
        <v>77</v>
      </c>
      <c r="Q263">
        <f t="shared" ref="Q263:Q268" si="85">(104.7 * N263 + 0.307 * P263- 15) * POWER(P263, 0.75) * 10^-3</f>
        <v>1.4107427634270284</v>
      </c>
      <c r="R263">
        <f t="shared" si="80"/>
        <v>0.62468890114860043</v>
      </c>
      <c r="S263">
        <v>1</v>
      </c>
      <c r="T263">
        <f t="shared" si="81"/>
        <v>0.88127534668857033</v>
      </c>
      <c r="U263">
        <v>19</v>
      </c>
      <c r="V263">
        <f t="shared" si="82"/>
        <v>1.8147976517745124E-2</v>
      </c>
      <c r="X263">
        <f t="shared" si="83"/>
        <v>91.25</v>
      </c>
      <c r="Y263">
        <f t="shared" si="84"/>
        <v>31.464054287640607</v>
      </c>
    </row>
    <row r="264" spans="1:26" x14ac:dyDescent="0.2">
      <c r="D264" t="s">
        <v>83</v>
      </c>
      <c r="F264">
        <v>0</v>
      </c>
      <c r="G264">
        <v>0</v>
      </c>
      <c r="H264">
        <v>0</v>
      </c>
      <c r="K264">
        <f>$AE$28</f>
        <v>0.9</v>
      </c>
      <c r="M264">
        <f>$AE$56</f>
        <v>0.75</v>
      </c>
      <c r="N264">
        <f t="shared" si="79"/>
        <v>0.5948500000000001</v>
      </c>
      <c r="O264" s="2">
        <v>76</v>
      </c>
      <c r="P264" s="2">
        <v>76</v>
      </c>
      <c r="Q264">
        <f t="shared" si="85"/>
        <v>1.8175802556295724</v>
      </c>
      <c r="R264">
        <f t="shared" si="80"/>
        <v>0.80210130091638532</v>
      </c>
      <c r="S264">
        <v>1</v>
      </c>
      <c r="T264">
        <f t="shared" si="81"/>
        <v>1.4578834875604161</v>
      </c>
      <c r="U264">
        <v>25</v>
      </c>
      <c r="V264">
        <f t="shared" si="82"/>
        <v>2.8988209566135827E-2</v>
      </c>
      <c r="X264">
        <f t="shared" si="83"/>
        <v>91.25</v>
      </c>
      <c r="Y264">
        <f t="shared" si="84"/>
        <v>66.12935307274735</v>
      </c>
    </row>
    <row r="265" spans="1:26" x14ac:dyDescent="0.2">
      <c r="A265">
        <v>2</v>
      </c>
      <c r="C265" t="s">
        <v>73</v>
      </c>
      <c r="D265" t="s">
        <v>80</v>
      </c>
      <c r="F265">
        <v>0</v>
      </c>
      <c r="G265">
        <v>0</v>
      </c>
      <c r="H265">
        <v>0</v>
      </c>
      <c r="K265">
        <f>$AF$25</f>
        <v>4</v>
      </c>
      <c r="M265">
        <f>$AF$53</f>
        <v>0.7</v>
      </c>
      <c r="N265">
        <f t="shared" si="79"/>
        <v>0.55510000000000004</v>
      </c>
      <c r="O265" s="2">
        <v>75</v>
      </c>
      <c r="P265" s="2">
        <v>75</v>
      </c>
      <c r="Q265">
        <f t="shared" si="85"/>
        <v>1.6857229733976102</v>
      </c>
      <c r="R265">
        <f t="shared" si="80"/>
        <v>0.99999999999998734</v>
      </c>
      <c r="S265">
        <v>1</v>
      </c>
      <c r="T265">
        <f t="shared" si="81"/>
        <v>1.6857229733975889</v>
      </c>
      <c r="U265">
        <v>50</v>
      </c>
      <c r="V265">
        <f t="shared" si="82"/>
        <v>3.3271591899874671E-2</v>
      </c>
      <c r="X265">
        <f t="shared" si="83"/>
        <v>91.25</v>
      </c>
      <c r="Y265">
        <f t="shared" si="84"/>
        <v>151.80163804317817</v>
      </c>
    </row>
    <row r="266" spans="1:26" x14ac:dyDescent="0.2">
      <c r="D266" t="s">
        <v>81</v>
      </c>
      <c r="F266">
        <v>0</v>
      </c>
      <c r="G266">
        <v>0</v>
      </c>
      <c r="H266">
        <v>0</v>
      </c>
      <c r="K266">
        <f>$AF$26</f>
        <v>2.5</v>
      </c>
      <c r="M266">
        <f>$AF$54</f>
        <v>0.55000000000000004</v>
      </c>
      <c r="N266">
        <f t="shared" si="79"/>
        <v>0.43585000000000007</v>
      </c>
      <c r="O266" s="2">
        <v>74</v>
      </c>
      <c r="P266" s="2">
        <v>74</v>
      </c>
      <c r="Q266">
        <f t="shared" si="85"/>
        <v>1.3460784869379241</v>
      </c>
      <c r="R266">
        <f t="shared" si="80"/>
        <v>0.99999627334682795</v>
      </c>
      <c r="S266">
        <v>1</v>
      </c>
      <c r="T266">
        <f t="shared" si="81"/>
        <v>1.3460734705702608</v>
      </c>
      <c r="U266">
        <v>60</v>
      </c>
      <c r="V266">
        <f t="shared" si="82"/>
        <v>2.6886181246720906E-2</v>
      </c>
      <c r="X266">
        <f t="shared" si="83"/>
        <v>91.25</v>
      </c>
      <c r="Y266">
        <f t="shared" si="84"/>
        <v>147.20184232579695</v>
      </c>
    </row>
    <row r="267" spans="1:26" x14ac:dyDescent="0.2">
      <c r="D267" t="s">
        <v>82</v>
      </c>
      <c r="F267">
        <v>0</v>
      </c>
      <c r="G267">
        <v>0</v>
      </c>
      <c r="H267">
        <v>0</v>
      </c>
      <c r="K267">
        <f>$AF$27</f>
        <v>0.7</v>
      </c>
      <c r="M267">
        <f>$AF$55</f>
        <v>0.55000000000000004</v>
      </c>
      <c r="N267">
        <f t="shared" si="79"/>
        <v>0.43585000000000007</v>
      </c>
      <c r="O267" s="2">
        <v>73</v>
      </c>
      <c r="P267" s="2">
        <v>73</v>
      </c>
      <c r="Q267">
        <f t="shared" si="85"/>
        <v>1.3247455344549881</v>
      </c>
      <c r="R267">
        <f t="shared" si="80"/>
        <v>0.62468890114860043</v>
      </c>
      <c r="S267">
        <v>1</v>
      </c>
      <c r="T267">
        <f t="shared" si="81"/>
        <v>0.82755383222020196</v>
      </c>
      <c r="U267">
        <v>55</v>
      </c>
      <c r="V267">
        <f t="shared" si="82"/>
        <v>1.7138012045739798E-2</v>
      </c>
      <c r="X267">
        <f t="shared" si="83"/>
        <v>91.25</v>
      </c>
      <c r="Y267">
        <f t="shared" si="84"/>
        <v>86.011397954556614</v>
      </c>
    </row>
    <row r="268" spans="1:26" x14ac:dyDescent="0.2">
      <c r="D268" t="s">
        <v>83</v>
      </c>
      <c r="F268">
        <v>0</v>
      </c>
      <c r="G268">
        <v>0</v>
      </c>
      <c r="H268">
        <v>0</v>
      </c>
      <c r="K268">
        <f>$AF$28</f>
        <v>0.9</v>
      </c>
      <c r="M268">
        <f>$AF$56</f>
        <v>0.75</v>
      </c>
      <c r="N268">
        <f t="shared" si="79"/>
        <v>0.5948500000000001</v>
      </c>
      <c r="O268" s="2">
        <v>72</v>
      </c>
      <c r="P268" s="2">
        <v>72</v>
      </c>
      <c r="Q268">
        <f t="shared" si="85"/>
        <v>1.71499825233277</v>
      </c>
      <c r="R268">
        <f t="shared" si="80"/>
        <v>0.80210130091638532</v>
      </c>
      <c r="S268">
        <v>1</v>
      </c>
      <c r="T268">
        <f t="shared" si="81"/>
        <v>1.375602329265442</v>
      </c>
      <c r="U268">
        <v>55</v>
      </c>
      <c r="V268">
        <f t="shared" si="82"/>
        <v>2.7441323790190313E-2</v>
      </c>
      <c r="X268">
        <f t="shared" si="83"/>
        <v>91.25</v>
      </c>
      <c r="Y268">
        <f t="shared" si="84"/>
        <v>137.72114377201763</v>
      </c>
    </row>
    <row r="269" spans="1:26" x14ac:dyDescent="0.2">
      <c r="A269">
        <v>3</v>
      </c>
      <c r="C269" t="s">
        <v>74</v>
      </c>
      <c r="D269" t="s">
        <v>80</v>
      </c>
      <c r="F269">
        <v>92</v>
      </c>
      <c r="G269">
        <v>87</v>
      </c>
      <c r="H269">
        <f>(F269/100*MIN(G269,100)/100)</f>
        <v>0.80040000000000011</v>
      </c>
      <c r="I269">
        <f>$AE$3</f>
        <v>1.3</v>
      </c>
      <c r="K269">
        <f>$AG$25</f>
        <v>4</v>
      </c>
      <c r="M269">
        <f>$AG$53</f>
        <v>0.7</v>
      </c>
      <c r="N269">
        <f t="shared" si="79"/>
        <v>0.55510000000000004</v>
      </c>
      <c r="O269" s="2">
        <v>71</v>
      </c>
      <c r="P269" s="2">
        <v>71</v>
      </c>
      <c r="Q269">
        <f>(104.7 * N269 + 0.307 * P269- 15) * POWER(P269, 0.75) * 10^-3</f>
        <v>1.5877982261232466</v>
      </c>
      <c r="R269">
        <f t="shared" si="80"/>
        <v>0.99999999999998734</v>
      </c>
      <c r="S269">
        <f>(H269 * I269) + (1 - H269)</f>
        <v>1.2401200000000001</v>
      </c>
      <c r="T269">
        <f t="shared" si="81"/>
        <v>1.9690603361799357</v>
      </c>
      <c r="U269">
        <v>60</v>
      </c>
      <c r="V269">
        <f t="shared" si="82"/>
        <v>3.8598334320182788E-2</v>
      </c>
      <c r="X269">
        <f t="shared" si="83"/>
        <v>91.25</v>
      </c>
      <c r="Y269">
        <f t="shared" si="84"/>
        <v>211.32588040300078</v>
      </c>
    </row>
    <row r="270" spans="1:26" x14ac:dyDescent="0.2">
      <c r="D270" t="s">
        <v>81</v>
      </c>
      <c r="F270">
        <v>0</v>
      </c>
      <c r="G270">
        <v>0</v>
      </c>
      <c r="H270">
        <f>(F270/100*MIN(G270,100)/100)</f>
        <v>0</v>
      </c>
      <c r="K270">
        <f>$AG$26</f>
        <v>2.5</v>
      </c>
      <c r="M270">
        <f>$AG$54</f>
        <v>0.55000000000000004</v>
      </c>
      <c r="N270">
        <f t="shared" si="79"/>
        <v>0.43585000000000007</v>
      </c>
      <c r="O270" s="2">
        <v>70</v>
      </c>
      <c r="P270" s="2">
        <v>70</v>
      </c>
      <c r="Q270">
        <f t="shared" ref="Q270:Q284" si="86">(104.7 * N270 + 0.307 * P270- 15) * POWER(P270, 0.75) * 10^-3</f>
        <v>1.2614122912776211</v>
      </c>
      <c r="R270">
        <f t="shared" si="80"/>
        <v>0.99999627334682795</v>
      </c>
      <c r="S270">
        <f t="shared" ref="S270:S276" si="87">(H270 * I270) + (1 - H270)</f>
        <v>1</v>
      </c>
      <c r="T270">
        <f t="shared" si="81"/>
        <v>1.2614075904315045</v>
      </c>
      <c r="U270">
        <v>70</v>
      </c>
      <c r="V270">
        <f t="shared" si="82"/>
        <v>2.5294462700112288E-2</v>
      </c>
      <c r="X270">
        <f t="shared" si="83"/>
        <v>91.25</v>
      </c>
      <c r="Y270">
        <f t="shared" si="84"/>
        <v>161.56838049696725</v>
      </c>
    </row>
    <row r="271" spans="1:26" x14ac:dyDescent="0.2">
      <c r="D271" t="s">
        <v>82</v>
      </c>
      <c r="F271">
        <v>0</v>
      </c>
      <c r="G271">
        <v>0</v>
      </c>
      <c r="H271">
        <f t="shared" ref="H271:H273" si="88">(F271/100*MIN(G271,100)/100)</f>
        <v>0</v>
      </c>
      <c r="K271">
        <f>$AG$27</f>
        <v>0.7</v>
      </c>
      <c r="M271">
        <f>$AG$55</f>
        <v>0.55000000000000004</v>
      </c>
      <c r="N271">
        <f t="shared" si="79"/>
        <v>0.43585000000000007</v>
      </c>
      <c r="O271" s="2">
        <v>69</v>
      </c>
      <c r="P271" s="2">
        <v>69</v>
      </c>
      <c r="Q271">
        <f t="shared" si="86"/>
        <v>1.2405230861491703</v>
      </c>
      <c r="R271">
        <f t="shared" si="80"/>
        <v>0.62468890114860043</v>
      </c>
      <c r="S271">
        <f t="shared" si="87"/>
        <v>1</v>
      </c>
      <c r="T271">
        <f t="shared" si="81"/>
        <v>0.77494100353599582</v>
      </c>
      <c r="U271">
        <v>60</v>
      </c>
      <c r="V271">
        <f t="shared" si="82"/>
        <v>1.6148890866476723E-2</v>
      </c>
      <c r="X271">
        <f t="shared" si="83"/>
        <v>91.25</v>
      </c>
      <c r="Y271">
        <f t="shared" si="84"/>
        <v>88.415177493960059</v>
      </c>
    </row>
    <row r="272" spans="1:26" x14ac:dyDescent="0.2">
      <c r="D272" t="s">
        <v>83</v>
      </c>
      <c r="F272">
        <v>0</v>
      </c>
      <c r="G272">
        <v>0</v>
      </c>
      <c r="H272">
        <f t="shared" si="88"/>
        <v>0</v>
      </c>
      <c r="K272">
        <f>$AG$28</f>
        <v>0.9</v>
      </c>
      <c r="M272">
        <f>$AG$56</f>
        <v>0.75</v>
      </c>
      <c r="N272">
        <f t="shared" si="79"/>
        <v>0.5948500000000001</v>
      </c>
      <c r="O272" s="2">
        <v>68</v>
      </c>
      <c r="P272" s="2">
        <v>68</v>
      </c>
      <c r="Q272">
        <f t="shared" si="86"/>
        <v>1.6139528553516362</v>
      </c>
      <c r="R272">
        <f t="shared" si="80"/>
        <v>0.80210130091638532</v>
      </c>
      <c r="S272">
        <f t="shared" si="87"/>
        <v>1</v>
      </c>
      <c r="T272">
        <f t="shared" si="81"/>
        <v>1.2945536848952621</v>
      </c>
      <c r="U272">
        <v>50</v>
      </c>
      <c r="V272">
        <f t="shared" si="82"/>
        <v>2.5917609276030932E-2</v>
      </c>
      <c r="X272">
        <f t="shared" si="83"/>
        <v>91.25</v>
      </c>
      <c r="Y272">
        <f t="shared" si="84"/>
        <v>118.24909232189113</v>
      </c>
    </row>
    <row r="273" spans="1:25" x14ac:dyDescent="0.2">
      <c r="A273">
        <v>4</v>
      </c>
      <c r="C273" t="s">
        <v>75</v>
      </c>
      <c r="D273" t="s">
        <v>80</v>
      </c>
      <c r="F273">
        <v>95</v>
      </c>
      <c r="G273">
        <v>88</v>
      </c>
      <c r="H273">
        <f t="shared" si="88"/>
        <v>0.83599999999999997</v>
      </c>
      <c r="I273">
        <f>$AE$3</f>
        <v>1.3</v>
      </c>
      <c r="K273">
        <f>$AH$25</f>
        <v>4</v>
      </c>
      <c r="M273">
        <f>$AH$53</f>
        <v>0.7</v>
      </c>
      <c r="N273">
        <f t="shared" si="79"/>
        <v>0.55510000000000004</v>
      </c>
      <c r="O273" s="2">
        <v>67</v>
      </c>
      <c r="P273" s="2">
        <v>67</v>
      </c>
      <c r="Q273">
        <f t="shared" si="86"/>
        <v>1.4914665181818776</v>
      </c>
      <c r="R273">
        <f t="shared" si="80"/>
        <v>0.99999999999998734</v>
      </c>
      <c r="S273">
        <f t="shared" si="87"/>
        <v>1.2507999999999999</v>
      </c>
      <c r="T273">
        <f t="shared" si="81"/>
        <v>1.8655263209418687</v>
      </c>
      <c r="U273">
        <v>40</v>
      </c>
      <c r="V273">
        <f t="shared" si="82"/>
        <v>3.6651894833707128E-2</v>
      </c>
      <c r="X273">
        <f t="shared" si="83"/>
        <v>91.25</v>
      </c>
      <c r="Y273">
        <f t="shared" si="84"/>
        <v>133.779416143031</v>
      </c>
    </row>
    <row r="274" spans="1:25" x14ac:dyDescent="0.2">
      <c r="D274" t="s">
        <v>81</v>
      </c>
      <c r="F274">
        <v>0</v>
      </c>
      <c r="G274">
        <v>0</v>
      </c>
      <c r="H274">
        <v>0</v>
      </c>
      <c r="K274">
        <f>$AH$26</f>
        <v>2.5</v>
      </c>
      <c r="M274">
        <f>$AH$54</f>
        <v>0.55000000000000004</v>
      </c>
      <c r="N274">
        <f t="shared" si="79"/>
        <v>0.43585000000000007</v>
      </c>
      <c r="O274" s="2">
        <v>66</v>
      </c>
      <c r="P274" s="2">
        <v>66</v>
      </c>
      <c r="Q274">
        <f t="shared" si="86"/>
        <v>1.1785209149153895</v>
      </c>
      <c r="R274">
        <f t="shared" si="80"/>
        <v>0.99999627334682795</v>
      </c>
      <c r="S274">
        <f t="shared" si="87"/>
        <v>1</v>
      </c>
      <c r="T274">
        <f t="shared" si="81"/>
        <v>1.1785165229766836</v>
      </c>
      <c r="U274">
        <v>45</v>
      </c>
      <c r="V274">
        <f t="shared" si="82"/>
        <v>2.3736110631961654E-2</v>
      </c>
      <c r="X274">
        <f t="shared" si="83"/>
        <v>91.25</v>
      </c>
      <c r="Y274">
        <f t="shared" si="84"/>
        <v>97.466404282492547</v>
      </c>
    </row>
    <row r="275" spans="1:25" x14ac:dyDescent="0.2">
      <c r="D275" t="s">
        <v>82</v>
      </c>
      <c r="F275">
        <v>0</v>
      </c>
      <c r="G275">
        <v>0</v>
      </c>
      <c r="H275">
        <v>0</v>
      </c>
      <c r="K275">
        <f>$AH$27</f>
        <v>0.7</v>
      </c>
      <c r="M275">
        <f>$AH$55</f>
        <v>0.55000000000000004</v>
      </c>
      <c r="N275">
        <f t="shared" si="79"/>
        <v>0.43585000000000007</v>
      </c>
      <c r="O275" s="2">
        <v>65</v>
      </c>
      <c r="P275" s="2">
        <v>65</v>
      </c>
      <c r="Q275">
        <f t="shared" si="86"/>
        <v>1.1580752413958724</v>
      </c>
      <c r="R275">
        <f t="shared" si="80"/>
        <v>0.62468890114860043</v>
      </c>
      <c r="S275">
        <f t="shared" si="87"/>
        <v>1</v>
      </c>
      <c r="T275">
        <f t="shared" si="81"/>
        <v>0.72343674999498764</v>
      </c>
      <c r="U275">
        <v>40</v>
      </c>
      <c r="V275">
        <f t="shared" si="82"/>
        <v>1.5180610899905769E-2</v>
      </c>
      <c r="X275">
        <f t="shared" si="83"/>
        <v>91.25</v>
      </c>
      <c r="Y275">
        <f t="shared" si="84"/>
        <v>55.409229784656056</v>
      </c>
    </row>
    <row r="276" spans="1:25" x14ac:dyDescent="0.2">
      <c r="D276" t="s">
        <v>83</v>
      </c>
      <c r="F276">
        <v>0</v>
      </c>
      <c r="G276">
        <v>0</v>
      </c>
      <c r="H276">
        <v>0</v>
      </c>
      <c r="K276">
        <f>$AH$28</f>
        <v>0.9</v>
      </c>
      <c r="M276">
        <f>$AH$56</f>
        <v>0.75</v>
      </c>
      <c r="N276">
        <f t="shared" si="79"/>
        <v>0.5948500000000001</v>
      </c>
      <c r="O276" s="2">
        <v>64</v>
      </c>
      <c r="P276" s="2">
        <v>64</v>
      </c>
      <c r="Q276">
        <f t="shared" si="86"/>
        <v>1.5144257536366168</v>
      </c>
      <c r="R276">
        <f t="shared" si="80"/>
        <v>0.80210130091638532</v>
      </c>
      <c r="S276">
        <f t="shared" si="87"/>
        <v>1</v>
      </c>
      <c r="T276">
        <f t="shared" si="81"/>
        <v>1.2147228671332075</v>
      </c>
      <c r="U276">
        <v>35</v>
      </c>
      <c r="V276">
        <f t="shared" si="82"/>
        <v>2.4416789902104306E-2</v>
      </c>
      <c r="X276">
        <f t="shared" si="83"/>
        <v>91.25</v>
      </c>
      <c r="Y276">
        <f t="shared" si="84"/>
        <v>77.981122749845625</v>
      </c>
    </row>
    <row r="277" spans="1:25" x14ac:dyDescent="0.2">
      <c r="A277">
        <v>5</v>
      </c>
      <c r="C277" t="s">
        <v>76</v>
      </c>
      <c r="D277" t="s">
        <v>80</v>
      </c>
      <c r="F277">
        <v>0</v>
      </c>
      <c r="G277">
        <v>0</v>
      </c>
      <c r="H277">
        <v>0</v>
      </c>
      <c r="K277">
        <f>$AI$25</f>
        <v>4</v>
      </c>
      <c r="M277">
        <f>$AI$53</f>
        <v>0.7</v>
      </c>
      <c r="N277">
        <f t="shared" si="79"/>
        <v>0.55510000000000004</v>
      </c>
      <c r="O277" s="2">
        <v>63</v>
      </c>
      <c r="P277" s="2">
        <v>63</v>
      </c>
      <c r="Q277">
        <f t="shared" si="86"/>
        <v>1.3967130257259237</v>
      </c>
      <c r="R277">
        <f t="shared" si="80"/>
        <v>0.99999999999998734</v>
      </c>
      <c r="S277">
        <v>1</v>
      </c>
      <c r="T277">
        <f t="shared" si="81"/>
        <v>1.3967130257259059</v>
      </c>
      <c r="U277">
        <v>25</v>
      </c>
      <c r="V277">
        <f t="shared" si="82"/>
        <v>2.7838204883647036E-2</v>
      </c>
      <c r="X277">
        <f t="shared" si="83"/>
        <v>91.25</v>
      </c>
      <c r="Y277">
        <f t="shared" si="84"/>
        <v>63.505904890819806</v>
      </c>
    </row>
    <row r="278" spans="1:25" x14ac:dyDescent="0.2">
      <c r="D278" t="s">
        <v>81</v>
      </c>
      <c r="F278">
        <v>0</v>
      </c>
      <c r="G278">
        <v>0</v>
      </c>
      <c r="H278">
        <v>0</v>
      </c>
      <c r="K278">
        <f>$AI$26</f>
        <v>2.5</v>
      </c>
      <c r="M278">
        <f>$AI$54</f>
        <v>0.55000000000000004</v>
      </c>
      <c r="N278">
        <f t="shared" si="79"/>
        <v>0.43585000000000007</v>
      </c>
      <c r="O278" s="2">
        <v>62</v>
      </c>
      <c r="P278" s="2">
        <v>62</v>
      </c>
      <c r="Q278">
        <f t="shared" si="86"/>
        <v>1.0974026986740544</v>
      </c>
      <c r="R278">
        <f t="shared" si="80"/>
        <v>0.99999627334682795</v>
      </c>
      <c r="S278">
        <v>1</v>
      </c>
      <c r="T278">
        <f t="shared" si="81"/>
        <v>1.0973986090348062</v>
      </c>
      <c r="U278">
        <v>30</v>
      </c>
      <c r="V278">
        <f t="shared" si="82"/>
        <v>2.2211093849854358E-2</v>
      </c>
      <c r="X278">
        <f t="shared" si="83"/>
        <v>91.25</v>
      </c>
      <c r="Y278">
        <f t="shared" si="84"/>
        <v>60.802869413976303</v>
      </c>
    </row>
    <row r="279" spans="1:25" x14ac:dyDescent="0.2">
      <c r="D279" t="s">
        <v>82</v>
      </c>
      <c r="F279">
        <v>0</v>
      </c>
      <c r="G279">
        <v>0</v>
      </c>
      <c r="H279">
        <v>0</v>
      </c>
      <c r="K279">
        <f>$AI$27</f>
        <v>0.7</v>
      </c>
      <c r="M279">
        <f>$AI$55</f>
        <v>0.55000000000000004</v>
      </c>
      <c r="N279">
        <f t="shared" si="79"/>
        <v>0.43585000000000007</v>
      </c>
      <c r="O279" s="2">
        <v>61</v>
      </c>
      <c r="P279" s="2">
        <v>61</v>
      </c>
      <c r="Q279">
        <f t="shared" si="86"/>
        <v>1.0773997799878814</v>
      </c>
      <c r="R279">
        <f t="shared" si="80"/>
        <v>0.62468890114860043</v>
      </c>
      <c r="S279">
        <v>1</v>
      </c>
      <c r="T279">
        <f t="shared" si="81"/>
        <v>0.67303968465837349</v>
      </c>
      <c r="U279">
        <v>25</v>
      </c>
      <c r="V279">
        <f t="shared" si="82"/>
        <v>1.4233146071577421E-2</v>
      </c>
      <c r="X279">
        <f t="shared" si="83"/>
        <v>91.25</v>
      </c>
      <c r="Y279">
        <f t="shared" si="84"/>
        <v>32.469364475785987</v>
      </c>
    </row>
    <row r="280" spans="1:25" x14ac:dyDescent="0.2">
      <c r="D280" t="s">
        <v>83</v>
      </c>
      <c r="F280">
        <v>0</v>
      </c>
      <c r="G280">
        <v>0</v>
      </c>
      <c r="H280">
        <v>0</v>
      </c>
      <c r="K280">
        <f>$AI$28</f>
        <v>0.9</v>
      </c>
      <c r="M280">
        <f>$AI$56</f>
        <v>0.75</v>
      </c>
      <c r="N280">
        <f t="shared" si="79"/>
        <v>0.5948500000000001</v>
      </c>
      <c r="O280" s="2">
        <v>60</v>
      </c>
      <c r="P280" s="2">
        <v>60</v>
      </c>
      <c r="Q280">
        <f t="shared" si="86"/>
        <v>1.4163939481646182</v>
      </c>
      <c r="R280">
        <f t="shared" si="80"/>
        <v>0.80210130091638532</v>
      </c>
      <c r="S280">
        <v>1</v>
      </c>
      <c r="T280">
        <f t="shared" si="81"/>
        <v>1.1360914284329355</v>
      </c>
      <c r="U280">
        <v>20</v>
      </c>
      <c r="V280">
        <f t="shared" si="82"/>
        <v>2.2938518854539191E-2</v>
      </c>
      <c r="X280">
        <f t="shared" si="83"/>
        <v>91.25</v>
      </c>
      <c r="Y280">
        <f t="shared" si="84"/>
        <v>41.862796909534026</v>
      </c>
    </row>
    <row r="281" spans="1:25" x14ac:dyDescent="0.2">
      <c r="A281">
        <v>6</v>
      </c>
      <c r="C281" t="s">
        <v>77</v>
      </c>
      <c r="D281" t="s">
        <v>80</v>
      </c>
      <c r="F281">
        <v>0</v>
      </c>
      <c r="G281">
        <v>0</v>
      </c>
      <c r="H281">
        <v>0</v>
      </c>
      <c r="K281">
        <f>$AJ$25</f>
        <v>4</v>
      </c>
      <c r="M281">
        <f>$AJ$53</f>
        <v>0.7</v>
      </c>
      <c r="N281">
        <f t="shared" si="79"/>
        <v>0.55510000000000004</v>
      </c>
      <c r="O281" s="2">
        <v>59</v>
      </c>
      <c r="P281" s="2">
        <v>59</v>
      </c>
      <c r="Q281">
        <f t="shared" si="86"/>
        <v>1.303518624930883</v>
      </c>
      <c r="R281">
        <f t="shared" si="80"/>
        <v>0.99999999999998734</v>
      </c>
      <c r="S281">
        <v>1</v>
      </c>
      <c r="T281">
        <f t="shared" si="81"/>
        <v>1.3035186249308666</v>
      </c>
      <c r="U281">
        <v>15</v>
      </c>
      <c r="V281">
        <f t="shared" si="82"/>
        <v>2.6086150148700294E-2</v>
      </c>
      <c r="X281">
        <f t="shared" si="83"/>
        <v>91.25</v>
      </c>
      <c r="Y281">
        <f t="shared" si="84"/>
        <v>35.705418016033526</v>
      </c>
    </row>
    <row r="282" spans="1:25" x14ac:dyDescent="0.2">
      <c r="D282" t="s">
        <v>81</v>
      </c>
      <c r="F282">
        <v>0</v>
      </c>
      <c r="G282">
        <v>0</v>
      </c>
      <c r="H282">
        <v>0</v>
      </c>
      <c r="K282">
        <f>$AJ$26</f>
        <v>2.5</v>
      </c>
      <c r="M282">
        <f>$AJ$54</f>
        <v>0.55000000000000004</v>
      </c>
      <c r="N282">
        <f t="shared" si="79"/>
        <v>0.43585000000000007</v>
      </c>
      <c r="O282" s="2">
        <v>58</v>
      </c>
      <c r="P282" s="2">
        <v>58</v>
      </c>
      <c r="Q282">
        <f t="shared" si="86"/>
        <v>1.0180535015422809</v>
      </c>
      <c r="R282">
        <f t="shared" si="80"/>
        <v>0.99999627334682795</v>
      </c>
      <c r="S282">
        <v>1</v>
      </c>
      <c r="T282">
        <f t="shared" si="81"/>
        <v>1.0180497076099702</v>
      </c>
      <c r="U282">
        <v>45</v>
      </c>
      <c r="V282">
        <f t="shared" si="82"/>
        <v>2.0719334503067441E-2</v>
      </c>
      <c r="X282">
        <f t="shared" si="83"/>
        <v>91.25</v>
      </c>
      <c r="Y282">
        <f t="shared" si="84"/>
        <v>85.078767303220687</v>
      </c>
    </row>
    <row r="283" spans="1:25" x14ac:dyDescent="0.2">
      <c r="D283" t="s">
        <v>82</v>
      </c>
      <c r="F283">
        <v>0</v>
      </c>
      <c r="G283">
        <v>0</v>
      </c>
      <c r="H283">
        <v>0</v>
      </c>
      <c r="K283">
        <f>$AJ$27</f>
        <v>0.7</v>
      </c>
      <c r="M283">
        <f>$AJ$55</f>
        <v>0.55000000000000004</v>
      </c>
      <c r="N283">
        <f t="shared" si="79"/>
        <v>0.43585000000000007</v>
      </c>
      <c r="O283" s="2">
        <v>57</v>
      </c>
      <c r="P283" s="2">
        <v>57</v>
      </c>
      <c r="Q283">
        <f t="shared" si="86"/>
        <v>0.99849183106675043</v>
      </c>
      <c r="R283">
        <f t="shared" si="80"/>
        <v>0.62468890114860043</v>
      </c>
      <c r="S283">
        <v>1</v>
      </c>
      <c r="T283">
        <f t="shared" si="81"/>
        <v>0.62374676475494228</v>
      </c>
      <c r="U283">
        <v>40</v>
      </c>
      <c r="V283">
        <f t="shared" si="82"/>
        <v>1.3306439177392914E-2</v>
      </c>
      <c r="X283">
        <f t="shared" si="83"/>
        <v>91.25</v>
      </c>
      <c r="Y283">
        <f t="shared" si="84"/>
        <v>48.568502997484138</v>
      </c>
    </row>
    <row r="284" spans="1:25" x14ac:dyDescent="0.2">
      <c r="D284" t="s">
        <v>83</v>
      </c>
      <c r="F284">
        <v>0</v>
      </c>
      <c r="G284">
        <v>0</v>
      </c>
      <c r="H284">
        <v>0</v>
      </c>
      <c r="K284">
        <f>$AJ$28</f>
        <v>0.9</v>
      </c>
      <c r="M284">
        <f>$AJ$56</f>
        <v>0.75</v>
      </c>
      <c r="N284">
        <f t="shared" si="79"/>
        <v>0.5948500000000001</v>
      </c>
      <c r="O284" s="2">
        <v>56</v>
      </c>
      <c r="P284" s="2">
        <v>56</v>
      </c>
      <c r="Q284">
        <f t="shared" si="86"/>
        <v>1.3198285488795851</v>
      </c>
      <c r="R284">
        <f t="shared" si="80"/>
        <v>0.80210130091638532</v>
      </c>
      <c r="S284">
        <v>1</v>
      </c>
      <c r="T284">
        <f t="shared" si="81"/>
        <v>1.0586361960429003</v>
      </c>
      <c r="U284">
        <v>30</v>
      </c>
      <c r="V284">
        <f t="shared" si="82"/>
        <v>2.1482360485606526E-2</v>
      </c>
      <c r="X284">
        <f t="shared" si="83"/>
        <v>91.25</v>
      </c>
      <c r="Y284">
        <f t="shared" si="84"/>
        <v>58.807961829347867</v>
      </c>
    </row>
    <row r="291" spans="1:26" x14ac:dyDescent="0.2">
      <c r="A291" t="s">
        <v>109</v>
      </c>
      <c r="B291" t="s">
        <v>102</v>
      </c>
      <c r="C291" t="s">
        <v>72</v>
      </c>
      <c r="D291" t="s">
        <v>80</v>
      </c>
      <c r="F291">
        <v>0</v>
      </c>
      <c r="G291">
        <v>0</v>
      </c>
      <c r="H291">
        <v>0</v>
      </c>
      <c r="K291">
        <f>$AE$29</f>
        <v>2.5</v>
      </c>
      <c r="M291">
        <f>$AE$57</f>
        <v>0.75</v>
      </c>
      <c r="N291">
        <f>(0.795 * M291) - 0.0014</f>
        <v>0.5948500000000001</v>
      </c>
      <c r="P291">
        <f>$AE$84</f>
        <v>90</v>
      </c>
      <c r="Q291">
        <f>(104.7 * N291 + 0.307 * P291- 15) * POWER(P291, 0.75) * 10^-3</f>
        <v>2.188901849330922</v>
      </c>
      <c r="R291">
        <f>1-EXP(-2*POWER(K291,2))</f>
        <v>0.99999627334682795</v>
      </c>
      <c r="S291">
        <v>1</v>
      </c>
      <c r="T291">
        <f>Q291 * R291 * S291</f>
        <v>2.1888936920529019</v>
      </c>
      <c r="U291">
        <v>25</v>
      </c>
      <c r="V291">
        <f>(T291 * 0.0188) + 0.00158</f>
        <v>4.2731201410594555E-2</v>
      </c>
      <c r="X291">
        <f>$AE$4</f>
        <v>91.25</v>
      </c>
      <c r="Y291">
        <f>U291*V291*X291</f>
        <v>97.480553217918825</v>
      </c>
      <c r="Z291">
        <f>SUM(Y291:Y314)*10^-3</f>
        <v>1.732155183172819</v>
      </c>
    </row>
    <row r="292" spans="1:26" x14ac:dyDescent="0.2">
      <c r="D292" t="s">
        <v>81</v>
      </c>
      <c r="F292">
        <v>0</v>
      </c>
      <c r="G292">
        <v>0</v>
      </c>
      <c r="H292">
        <v>0</v>
      </c>
      <c r="K292">
        <f>$AE$30</f>
        <v>2.5</v>
      </c>
      <c r="M292">
        <f>$AE$58</f>
        <v>0.55000000000000004</v>
      </c>
      <c r="N292">
        <f t="shared" ref="N292:N314" si="89">(0.795 * M292) - 0.0014</f>
        <v>0.43585000000000007</v>
      </c>
      <c r="P292">
        <f>$AE$85</f>
        <v>90</v>
      </c>
      <c r="Q292">
        <f>(104.7 * N292 + 0.307 * P292- 15) * POWER(P292, 0.75) * 10^-3</f>
        <v>1.7024658722949466</v>
      </c>
      <c r="R292">
        <f t="shared" ref="R292:R314" si="90">1-EXP(-2*POWER(K292,2))</f>
        <v>0.99999627334682795</v>
      </c>
      <c r="S292">
        <v>1</v>
      </c>
      <c r="T292">
        <f t="shared" ref="T292:T314" si="91">Q292 * R292 * S292</f>
        <v>1.7024595277951033</v>
      </c>
      <c r="U292">
        <v>20</v>
      </c>
      <c r="V292">
        <f t="shared" ref="V292:V314" si="92">(T292 * 0.0188) + 0.00158</f>
        <v>3.3586239122547941E-2</v>
      </c>
      <c r="X292">
        <f t="shared" ref="X292:X314" si="93">$AE$4</f>
        <v>91.25</v>
      </c>
      <c r="Y292">
        <f t="shared" ref="Y292:Y314" si="94">U292*V292*X292</f>
        <v>61.294886398649993</v>
      </c>
    </row>
    <row r="293" spans="1:26" x14ac:dyDescent="0.2">
      <c r="D293" t="s">
        <v>82</v>
      </c>
      <c r="F293">
        <v>0</v>
      </c>
      <c r="G293">
        <v>0</v>
      </c>
      <c r="H293">
        <v>0</v>
      </c>
      <c r="K293">
        <f>$AE$31</f>
        <v>1.3</v>
      </c>
      <c r="M293">
        <f>$AE$59</f>
        <v>0.67</v>
      </c>
      <c r="N293">
        <f t="shared" si="89"/>
        <v>0.53125000000000011</v>
      </c>
      <c r="P293">
        <f>$AE$86</f>
        <v>75</v>
      </c>
      <c r="Q293">
        <f t="shared" ref="Q293:Q298" si="95">(104.7 * N293 + 0.307 * P293- 15) * POWER(P293, 0.75) * 10^-3</f>
        <v>1.6220828500688129</v>
      </c>
      <c r="R293">
        <f t="shared" si="90"/>
        <v>0.96595254526540064</v>
      </c>
      <c r="S293">
        <v>1</v>
      </c>
      <c r="T293">
        <f t="shared" si="91"/>
        <v>1.5668550576553251</v>
      </c>
      <c r="U293">
        <v>19</v>
      </c>
      <c r="V293">
        <f t="shared" si="92"/>
        <v>3.1036875083920112E-2</v>
      </c>
      <c r="X293">
        <f t="shared" si="93"/>
        <v>91.25</v>
      </c>
      <c r="Y293">
        <f t="shared" si="94"/>
        <v>53.810182176746501</v>
      </c>
    </row>
    <row r="294" spans="1:26" x14ac:dyDescent="0.2">
      <c r="D294" t="s">
        <v>83</v>
      </c>
      <c r="F294">
        <v>0</v>
      </c>
      <c r="G294">
        <v>0</v>
      </c>
      <c r="H294">
        <v>0</v>
      </c>
      <c r="K294">
        <f>$AE$32</f>
        <v>0.8</v>
      </c>
      <c r="M294">
        <f>$AE$60</f>
        <v>0.7</v>
      </c>
      <c r="N294">
        <f t="shared" si="89"/>
        <v>0.55510000000000004</v>
      </c>
      <c r="P294">
        <f>$AE$87</f>
        <v>75</v>
      </c>
      <c r="Q294">
        <f t="shared" si="95"/>
        <v>1.6857229733976102</v>
      </c>
      <c r="R294">
        <f t="shared" si="90"/>
        <v>0.72196269954680592</v>
      </c>
      <c r="S294">
        <v>1</v>
      </c>
      <c r="T294">
        <f t="shared" si="91"/>
        <v>1.2170291085622071</v>
      </c>
      <c r="U294">
        <v>25</v>
      </c>
      <c r="V294">
        <f t="shared" si="92"/>
        <v>2.4460147240969496E-2</v>
      </c>
      <c r="X294">
        <f t="shared" si="93"/>
        <v>91.25</v>
      </c>
      <c r="Y294">
        <f t="shared" si="94"/>
        <v>55.799710893461658</v>
      </c>
    </row>
    <row r="295" spans="1:26" x14ac:dyDescent="0.2">
      <c r="A295">
        <v>2</v>
      </c>
      <c r="C295" t="s">
        <v>73</v>
      </c>
      <c r="D295" t="s">
        <v>80</v>
      </c>
      <c r="F295">
        <v>0</v>
      </c>
      <c r="G295">
        <v>0</v>
      </c>
      <c r="H295">
        <v>0</v>
      </c>
      <c r="K295">
        <f>$AF$29</f>
        <v>2.5</v>
      </c>
      <c r="M295">
        <f>$AF$57</f>
        <v>0.75</v>
      </c>
      <c r="N295">
        <f t="shared" si="89"/>
        <v>0.5948500000000001</v>
      </c>
      <c r="P295">
        <f>$AF$84</f>
        <v>55</v>
      </c>
      <c r="Q295">
        <f t="shared" si="95"/>
        <v>1.2959122541335131</v>
      </c>
      <c r="R295">
        <f t="shared" si="90"/>
        <v>0.99999627334682795</v>
      </c>
      <c r="S295">
        <v>1</v>
      </c>
      <c r="T295">
        <f t="shared" si="91"/>
        <v>1.2959074247180005</v>
      </c>
      <c r="U295">
        <v>50</v>
      </c>
      <c r="V295">
        <f t="shared" si="92"/>
        <v>2.5943059584698412E-2</v>
      </c>
      <c r="X295">
        <f t="shared" si="93"/>
        <v>91.25</v>
      </c>
      <c r="Y295">
        <f t="shared" si="94"/>
        <v>118.36520935518651</v>
      </c>
    </row>
    <row r="296" spans="1:26" x14ac:dyDescent="0.2">
      <c r="D296" t="s">
        <v>81</v>
      </c>
      <c r="F296">
        <v>0</v>
      </c>
      <c r="G296">
        <v>0</v>
      </c>
      <c r="H296">
        <v>0</v>
      </c>
      <c r="K296">
        <f>$AF$30</f>
        <v>2.5</v>
      </c>
      <c r="M296">
        <f>$AF$58</f>
        <v>0.55000000000000004</v>
      </c>
      <c r="N296">
        <f t="shared" si="89"/>
        <v>0.43585000000000007</v>
      </c>
      <c r="P296">
        <f>$AF$85</f>
        <v>55</v>
      </c>
      <c r="Q296">
        <f t="shared" si="95"/>
        <v>0.95969823125361531</v>
      </c>
      <c r="R296">
        <f t="shared" si="90"/>
        <v>0.99999627334682795</v>
      </c>
      <c r="S296">
        <v>1</v>
      </c>
      <c r="T296">
        <f t="shared" si="91"/>
        <v>0.95969465479115756</v>
      </c>
      <c r="U296">
        <v>60</v>
      </c>
      <c r="V296">
        <f t="shared" si="92"/>
        <v>1.9622259510073764E-2</v>
      </c>
      <c r="X296">
        <f t="shared" si="93"/>
        <v>91.25</v>
      </c>
      <c r="Y296">
        <f t="shared" si="94"/>
        <v>107.43187081765385</v>
      </c>
    </row>
    <row r="297" spans="1:26" x14ac:dyDescent="0.2">
      <c r="D297" t="s">
        <v>82</v>
      </c>
      <c r="F297">
        <v>0</v>
      </c>
      <c r="G297">
        <v>0</v>
      </c>
      <c r="H297">
        <v>0</v>
      </c>
      <c r="K297">
        <f>$AF$31</f>
        <v>1.3</v>
      </c>
      <c r="M297">
        <f>$AF$59</f>
        <v>0.67</v>
      </c>
      <c r="N297">
        <f t="shared" si="89"/>
        <v>0.53125000000000011</v>
      </c>
      <c r="P297">
        <f>$AF$86</f>
        <v>50</v>
      </c>
      <c r="Q297">
        <f t="shared" si="95"/>
        <v>1.052440031254225</v>
      </c>
      <c r="R297">
        <f t="shared" si="90"/>
        <v>0.96595254526540064</v>
      </c>
      <c r="S297">
        <v>1</v>
      </c>
      <c r="T297">
        <f t="shared" si="91"/>
        <v>1.0166071269292165</v>
      </c>
      <c r="U297">
        <v>55</v>
      </c>
      <c r="V297">
        <f t="shared" si="92"/>
        <v>2.0692213986269272E-2</v>
      </c>
      <c r="X297">
        <f t="shared" si="93"/>
        <v>91.25</v>
      </c>
      <c r="Y297">
        <f t="shared" si="94"/>
        <v>103.8490489435889</v>
      </c>
    </row>
    <row r="298" spans="1:26" x14ac:dyDescent="0.2">
      <c r="D298" t="s">
        <v>83</v>
      </c>
      <c r="F298">
        <v>0</v>
      </c>
      <c r="G298">
        <v>0</v>
      </c>
      <c r="H298">
        <v>0</v>
      </c>
      <c r="K298">
        <f>$AF$32</f>
        <v>0.8</v>
      </c>
      <c r="M298">
        <f>$AF$60</f>
        <v>0.7</v>
      </c>
      <c r="N298">
        <f t="shared" si="89"/>
        <v>0.55510000000000004</v>
      </c>
      <c r="P298">
        <f>$AF$87</f>
        <v>45</v>
      </c>
      <c r="Q298">
        <f t="shared" si="95"/>
        <v>0.98919258792655118</v>
      </c>
      <c r="R298">
        <f t="shared" si="90"/>
        <v>0.72196269954680592</v>
      </c>
      <c r="S298">
        <v>1</v>
      </c>
      <c r="T298">
        <f t="shared" si="91"/>
        <v>0.71416015115114406</v>
      </c>
      <c r="U298">
        <v>55</v>
      </c>
      <c r="V298">
        <f t="shared" si="92"/>
        <v>1.5006210841641509E-2</v>
      </c>
      <c r="X298">
        <f t="shared" si="93"/>
        <v>91.25</v>
      </c>
      <c r="Y298">
        <f t="shared" si="94"/>
        <v>75.312420661488332</v>
      </c>
    </row>
    <row r="299" spans="1:26" x14ac:dyDescent="0.2">
      <c r="A299">
        <v>3</v>
      </c>
      <c r="C299" t="s">
        <v>74</v>
      </c>
      <c r="D299" t="s">
        <v>80</v>
      </c>
      <c r="F299">
        <v>80</v>
      </c>
      <c r="G299">
        <v>87</v>
      </c>
      <c r="H299">
        <f>(F299/100*MIN(G299,100)/100)</f>
        <v>0.69600000000000006</v>
      </c>
      <c r="I299">
        <f>$AE$3</f>
        <v>1.3</v>
      </c>
      <c r="K299">
        <f>$AG$29</f>
        <v>2.5</v>
      </c>
      <c r="M299">
        <f>$AG$57</f>
        <v>0.75</v>
      </c>
      <c r="N299">
        <f t="shared" si="89"/>
        <v>0.5948500000000001</v>
      </c>
      <c r="P299">
        <f>$AG$84</f>
        <v>45</v>
      </c>
      <c r="Q299">
        <f>(104.7 * N299 + 0.307 * P299- 15) * POWER(P299, 0.75) * 10^-3</f>
        <v>1.0615017285371116</v>
      </c>
      <c r="R299">
        <f t="shared" si="90"/>
        <v>0.99999627334682795</v>
      </c>
      <c r="S299">
        <f>(H299 * I299) + (1 - H299)</f>
        <v>1.2088000000000001</v>
      </c>
      <c r="T299">
        <f t="shared" si="91"/>
        <v>1.2831385076256505</v>
      </c>
      <c r="U299">
        <v>60</v>
      </c>
      <c r="V299">
        <f t="shared" si="92"/>
        <v>2.5703003943362231E-2</v>
      </c>
      <c r="X299">
        <f t="shared" si="93"/>
        <v>91.25</v>
      </c>
      <c r="Y299">
        <f t="shared" si="94"/>
        <v>140.72394658990822</v>
      </c>
    </row>
    <row r="300" spans="1:26" x14ac:dyDescent="0.2">
      <c r="D300" t="s">
        <v>81</v>
      </c>
      <c r="F300">
        <v>10</v>
      </c>
      <c r="G300">
        <v>8</v>
      </c>
      <c r="H300">
        <f>(F300/100*MIN(G300,100)/100)</f>
        <v>8.0000000000000002E-3</v>
      </c>
      <c r="I300">
        <f>$AE$3</f>
        <v>1.3</v>
      </c>
      <c r="K300">
        <f>$AG$30</f>
        <v>2.5</v>
      </c>
      <c r="M300">
        <f>$AG$58</f>
        <v>0.55000000000000004</v>
      </c>
      <c r="N300">
        <f t="shared" si="89"/>
        <v>0.43585000000000007</v>
      </c>
      <c r="P300">
        <f>$AG$85</f>
        <v>45</v>
      </c>
      <c r="Q300">
        <f t="shared" ref="Q300:Q314" si="96">(104.7 * N300 + 0.307 * P300- 15) * POWER(P300, 0.75) * 10^-3</f>
        <v>0.77226516609487061</v>
      </c>
      <c r="R300">
        <f t="shared" si="90"/>
        <v>0.99999627334682795</v>
      </c>
      <c r="S300">
        <f t="shared" ref="S300:S306" si="97">(H300 * I300) + (1 - H300)</f>
        <v>1.0024</v>
      </c>
      <c r="T300">
        <f t="shared" si="91"/>
        <v>0.77411571762195275</v>
      </c>
      <c r="U300">
        <v>70</v>
      </c>
      <c r="V300">
        <f t="shared" si="92"/>
        <v>1.6133375491292713E-2</v>
      </c>
      <c r="X300">
        <f t="shared" si="93"/>
        <v>91.25</v>
      </c>
      <c r="Y300">
        <f t="shared" si="94"/>
        <v>103.05193595063221</v>
      </c>
    </row>
    <row r="301" spans="1:26" x14ac:dyDescent="0.2">
      <c r="D301" t="s">
        <v>82</v>
      </c>
      <c r="F301">
        <v>0</v>
      </c>
      <c r="G301">
        <v>0</v>
      </c>
      <c r="H301">
        <f t="shared" ref="H301:H304" si="98">(F301/100*MIN(G301,100)/100)</f>
        <v>0</v>
      </c>
      <c r="K301">
        <f>$AG$31</f>
        <v>1.3</v>
      </c>
      <c r="M301">
        <f>$AG$59</f>
        <v>0.67</v>
      </c>
      <c r="N301">
        <f t="shared" si="89"/>
        <v>0.53125000000000011</v>
      </c>
      <c r="P301">
        <f>$AG$86</f>
        <v>45</v>
      </c>
      <c r="Q301">
        <f t="shared" si="96"/>
        <v>0.94580710356021536</v>
      </c>
      <c r="R301">
        <f t="shared" si="90"/>
        <v>0.96595254526540064</v>
      </c>
      <c r="S301">
        <f t="shared" si="97"/>
        <v>1</v>
      </c>
      <c r="T301">
        <f t="shared" si="91"/>
        <v>0.91360477901408643</v>
      </c>
      <c r="U301">
        <v>60</v>
      </c>
      <c r="V301">
        <f t="shared" si="92"/>
        <v>1.8755769845464829E-2</v>
      </c>
      <c r="X301">
        <f t="shared" si="93"/>
        <v>91.25</v>
      </c>
      <c r="Y301">
        <f t="shared" si="94"/>
        <v>102.68783990391994</v>
      </c>
    </row>
    <row r="302" spans="1:26" x14ac:dyDescent="0.2">
      <c r="D302" t="s">
        <v>83</v>
      </c>
      <c r="F302">
        <v>5</v>
      </c>
      <c r="G302">
        <v>4</v>
      </c>
      <c r="H302">
        <f t="shared" si="98"/>
        <v>2E-3</v>
      </c>
      <c r="I302">
        <f>$AE$3</f>
        <v>1.3</v>
      </c>
      <c r="K302">
        <f>$AG$32</f>
        <v>0.8</v>
      </c>
      <c r="M302">
        <f>$AG$60</f>
        <v>0.7</v>
      </c>
      <c r="N302">
        <f t="shared" si="89"/>
        <v>0.55510000000000004</v>
      </c>
      <c r="P302">
        <f>$AG$87</f>
        <v>50</v>
      </c>
      <c r="Q302">
        <f t="shared" si="96"/>
        <v>1.0993929471578776</v>
      </c>
      <c r="R302">
        <f t="shared" si="90"/>
        <v>0.72196269954680592</v>
      </c>
      <c r="S302">
        <f t="shared" si="97"/>
        <v>1.0005999999999999</v>
      </c>
      <c r="T302">
        <f t="shared" si="91"/>
        <v>0.79419693241281586</v>
      </c>
      <c r="U302">
        <v>50</v>
      </c>
      <c r="V302">
        <f t="shared" si="92"/>
        <v>1.6510902329360939E-2</v>
      </c>
      <c r="X302">
        <f t="shared" si="93"/>
        <v>91.25</v>
      </c>
      <c r="Y302">
        <f t="shared" si="94"/>
        <v>75.33099187770928</v>
      </c>
    </row>
    <row r="303" spans="1:26" x14ac:dyDescent="0.2">
      <c r="A303">
        <v>4</v>
      </c>
      <c r="C303" t="s">
        <v>75</v>
      </c>
      <c r="D303" t="s">
        <v>80</v>
      </c>
      <c r="F303">
        <v>90</v>
      </c>
      <c r="G303">
        <v>87</v>
      </c>
      <c r="H303">
        <f t="shared" si="98"/>
        <v>0.78299999999999992</v>
      </c>
      <c r="I303">
        <f>$AE$3</f>
        <v>1.3</v>
      </c>
      <c r="K303">
        <f>$AH$29</f>
        <v>2.5</v>
      </c>
      <c r="M303">
        <f>$AH$57</f>
        <v>0.75</v>
      </c>
      <c r="N303">
        <f t="shared" si="89"/>
        <v>0.5948500000000001</v>
      </c>
      <c r="P303">
        <f>$AH$84</f>
        <v>50</v>
      </c>
      <c r="Q303">
        <f t="shared" si="96"/>
        <v>1.1776478069972991</v>
      </c>
      <c r="R303">
        <f t="shared" si="90"/>
        <v>0.99999627334682795</v>
      </c>
      <c r="S303">
        <f t="shared" si="97"/>
        <v>1.2349000000000001</v>
      </c>
      <c r="T303">
        <f t="shared" si="91"/>
        <v>1.4542718572739379</v>
      </c>
      <c r="U303">
        <v>40</v>
      </c>
      <c r="V303">
        <f t="shared" si="92"/>
        <v>2.8920310916750035E-2</v>
      </c>
      <c r="X303">
        <f t="shared" si="93"/>
        <v>91.25</v>
      </c>
      <c r="Y303">
        <f t="shared" si="94"/>
        <v>105.55913484613764</v>
      </c>
    </row>
    <row r="304" spans="1:26" x14ac:dyDescent="0.2">
      <c r="D304" t="s">
        <v>81</v>
      </c>
      <c r="F304">
        <v>5</v>
      </c>
      <c r="G304">
        <v>3</v>
      </c>
      <c r="H304">
        <f t="shared" si="98"/>
        <v>1.5000000000000002E-3</v>
      </c>
      <c r="I304">
        <f>$AE$3</f>
        <v>1.3</v>
      </c>
      <c r="K304">
        <f>$AH$30</f>
        <v>2.5</v>
      </c>
      <c r="M304">
        <f>$AH$58</f>
        <v>0.55000000000000004</v>
      </c>
      <c r="N304">
        <f t="shared" si="89"/>
        <v>0.43585000000000007</v>
      </c>
      <c r="P304">
        <f>$AH$85</f>
        <v>50</v>
      </c>
      <c r="Q304">
        <f t="shared" si="96"/>
        <v>0.8646283676396137</v>
      </c>
      <c r="R304">
        <f t="shared" si="90"/>
        <v>0.99999627334682795</v>
      </c>
      <c r="S304">
        <f t="shared" si="97"/>
        <v>1.0004500000000001</v>
      </c>
      <c r="T304">
        <f t="shared" si="91"/>
        <v>0.86501422678502615</v>
      </c>
      <c r="U304">
        <v>45</v>
      </c>
      <c r="V304">
        <f t="shared" si="92"/>
        <v>1.7842267463558492E-2</v>
      </c>
      <c r="X304">
        <f t="shared" si="93"/>
        <v>91.25</v>
      </c>
      <c r="Y304">
        <f t="shared" si="94"/>
        <v>73.26481077223707</v>
      </c>
    </row>
    <row r="305" spans="1:25" x14ac:dyDescent="0.2">
      <c r="D305" t="s">
        <v>82</v>
      </c>
      <c r="F305">
        <v>0</v>
      </c>
      <c r="G305">
        <v>0</v>
      </c>
      <c r="H305">
        <v>0</v>
      </c>
      <c r="K305">
        <f>$AH$31</f>
        <v>1.3</v>
      </c>
      <c r="M305">
        <f>$AH$59</f>
        <v>0.67</v>
      </c>
      <c r="N305">
        <f t="shared" si="89"/>
        <v>0.53125000000000011</v>
      </c>
      <c r="P305">
        <f>$AH$86</f>
        <v>50</v>
      </c>
      <c r="Q305">
        <f t="shared" si="96"/>
        <v>1.052440031254225</v>
      </c>
      <c r="R305">
        <f t="shared" si="90"/>
        <v>0.96595254526540064</v>
      </c>
      <c r="S305">
        <f t="shared" si="97"/>
        <v>1</v>
      </c>
      <c r="T305">
        <f t="shared" si="91"/>
        <v>1.0166071269292165</v>
      </c>
      <c r="U305">
        <v>40</v>
      </c>
      <c r="V305">
        <f t="shared" si="92"/>
        <v>2.0692213986269272E-2</v>
      </c>
      <c r="X305">
        <f t="shared" si="93"/>
        <v>91.25</v>
      </c>
      <c r="Y305">
        <f t="shared" si="94"/>
        <v>75.52658104988285</v>
      </c>
    </row>
    <row r="306" spans="1:25" x14ac:dyDescent="0.2">
      <c r="D306" t="s">
        <v>83</v>
      </c>
      <c r="F306">
        <v>0</v>
      </c>
      <c r="G306">
        <v>0</v>
      </c>
      <c r="H306">
        <v>0</v>
      </c>
      <c r="K306">
        <f>$AH$32</f>
        <v>0.8</v>
      </c>
      <c r="M306">
        <f>$AH$60</f>
        <v>0.7</v>
      </c>
      <c r="N306">
        <f t="shared" si="89"/>
        <v>0.55510000000000004</v>
      </c>
      <c r="P306">
        <f>$AH$87</f>
        <v>55</v>
      </c>
      <c r="Q306">
        <f t="shared" si="96"/>
        <v>1.2118587484135388</v>
      </c>
      <c r="R306">
        <f t="shared" si="90"/>
        <v>0.72196269954680592</v>
      </c>
      <c r="S306">
        <f t="shared" si="97"/>
        <v>1</v>
      </c>
      <c r="T306">
        <f t="shared" si="91"/>
        <v>0.87491681347405192</v>
      </c>
      <c r="U306">
        <v>35</v>
      </c>
      <c r="V306">
        <f t="shared" si="92"/>
        <v>1.8028436093312179E-2</v>
      </c>
      <c r="X306">
        <f t="shared" si="93"/>
        <v>91.25</v>
      </c>
      <c r="Y306">
        <f t="shared" si="94"/>
        <v>57.578317773015769</v>
      </c>
    </row>
    <row r="307" spans="1:25" x14ac:dyDescent="0.2">
      <c r="A307">
        <v>5</v>
      </c>
      <c r="C307" t="s">
        <v>76</v>
      </c>
      <c r="D307" t="s">
        <v>80</v>
      </c>
      <c r="F307">
        <v>0</v>
      </c>
      <c r="G307">
        <v>0</v>
      </c>
      <c r="H307">
        <v>0</v>
      </c>
      <c r="K307">
        <f>$AI$29</f>
        <v>2.5</v>
      </c>
      <c r="M307">
        <f>$AI$57</f>
        <v>0.75</v>
      </c>
      <c r="N307">
        <f t="shared" si="89"/>
        <v>0.5948500000000001</v>
      </c>
      <c r="P307">
        <f>$AI$84</f>
        <v>50</v>
      </c>
      <c r="Q307">
        <f t="shared" si="96"/>
        <v>1.1776478069972991</v>
      </c>
      <c r="R307">
        <f t="shared" si="90"/>
        <v>0.99999627334682795</v>
      </c>
      <c r="S307">
        <v>1</v>
      </c>
      <c r="T307">
        <f t="shared" si="91"/>
        <v>1.1776434183123636</v>
      </c>
      <c r="U307">
        <v>25</v>
      </c>
      <c r="V307">
        <f t="shared" si="92"/>
        <v>2.3719696264272439E-2</v>
      </c>
      <c r="X307">
        <f t="shared" si="93"/>
        <v>91.25</v>
      </c>
      <c r="Y307">
        <f t="shared" si="94"/>
        <v>54.110557102871503</v>
      </c>
    </row>
    <row r="308" spans="1:25" x14ac:dyDescent="0.2">
      <c r="D308" t="s">
        <v>81</v>
      </c>
      <c r="F308">
        <v>0</v>
      </c>
      <c r="G308">
        <v>0</v>
      </c>
      <c r="H308">
        <v>0</v>
      </c>
      <c r="K308">
        <f>$AI$30</f>
        <v>2.5</v>
      </c>
      <c r="M308">
        <f>$AI$58</f>
        <v>0.55000000000000004</v>
      </c>
      <c r="N308">
        <f t="shared" si="89"/>
        <v>0.43585000000000007</v>
      </c>
      <c r="P308">
        <f>$AI$85</f>
        <v>50</v>
      </c>
      <c r="Q308">
        <f t="shared" si="96"/>
        <v>0.8646283676396137</v>
      </c>
      <c r="R308">
        <f t="shared" si="90"/>
        <v>0.99999627334682795</v>
      </c>
      <c r="S308">
        <v>1</v>
      </c>
      <c r="T308">
        <f t="shared" si="91"/>
        <v>0.86462514546956482</v>
      </c>
      <c r="U308">
        <v>30</v>
      </c>
      <c r="V308">
        <f t="shared" si="92"/>
        <v>1.7834952734827821E-2</v>
      </c>
      <c r="X308">
        <f t="shared" si="93"/>
        <v>91.25</v>
      </c>
      <c r="Y308">
        <f t="shared" si="94"/>
        <v>48.823183111591163</v>
      </c>
    </row>
    <row r="309" spans="1:25" x14ac:dyDescent="0.2">
      <c r="D309" t="s">
        <v>82</v>
      </c>
      <c r="F309">
        <v>0</v>
      </c>
      <c r="G309">
        <v>0</v>
      </c>
      <c r="H309">
        <v>0</v>
      </c>
      <c r="K309">
        <f>$AI$31</f>
        <v>1.3</v>
      </c>
      <c r="M309">
        <f>$AI$59</f>
        <v>0.67</v>
      </c>
      <c r="N309">
        <f t="shared" si="89"/>
        <v>0.53125000000000011</v>
      </c>
      <c r="P309">
        <f>$AI$86</f>
        <v>50</v>
      </c>
      <c r="Q309">
        <f t="shared" si="96"/>
        <v>1.052440031254225</v>
      </c>
      <c r="R309">
        <f t="shared" si="90"/>
        <v>0.96595254526540064</v>
      </c>
      <c r="S309">
        <v>1</v>
      </c>
      <c r="T309">
        <f t="shared" si="91"/>
        <v>1.0166071269292165</v>
      </c>
      <c r="U309">
        <v>25</v>
      </c>
      <c r="V309">
        <f t="shared" si="92"/>
        <v>2.0692213986269272E-2</v>
      </c>
      <c r="X309">
        <f t="shared" si="93"/>
        <v>91.25</v>
      </c>
      <c r="Y309">
        <f t="shared" si="94"/>
        <v>47.204113156176774</v>
      </c>
    </row>
    <row r="310" spans="1:25" x14ac:dyDescent="0.2">
      <c r="D310" t="s">
        <v>83</v>
      </c>
      <c r="F310">
        <v>0</v>
      </c>
      <c r="G310">
        <v>0</v>
      </c>
      <c r="H310">
        <v>0</v>
      </c>
      <c r="K310">
        <f>$AI$32</f>
        <v>0.8</v>
      </c>
      <c r="M310">
        <f>$AI$60</f>
        <v>0.7</v>
      </c>
      <c r="N310">
        <f t="shared" si="89"/>
        <v>0.55510000000000004</v>
      </c>
      <c r="P310">
        <f>$AI$87</f>
        <v>50</v>
      </c>
      <c r="Q310">
        <f t="shared" si="96"/>
        <v>1.0993929471578776</v>
      </c>
      <c r="R310">
        <f t="shared" si="90"/>
        <v>0.72196269954680592</v>
      </c>
      <c r="S310">
        <v>1</v>
      </c>
      <c r="T310">
        <f t="shared" si="91"/>
        <v>0.79372069999282024</v>
      </c>
      <c r="U310">
        <v>20</v>
      </c>
      <c r="V310">
        <f t="shared" si="92"/>
        <v>1.6501949159865022E-2</v>
      </c>
      <c r="X310">
        <f t="shared" si="93"/>
        <v>91.25</v>
      </c>
      <c r="Y310">
        <f t="shared" si="94"/>
        <v>30.116057216753667</v>
      </c>
    </row>
    <row r="311" spans="1:25" x14ac:dyDescent="0.2">
      <c r="A311">
        <v>6</v>
      </c>
      <c r="C311" t="s">
        <v>77</v>
      </c>
      <c r="D311" t="s">
        <v>80</v>
      </c>
      <c r="F311">
        <v>0</v>
      </c>
      <c r="G311">
        <v>0</v>
      </c>
      <c r="H311">
        <v>0</v>
      </c>
      <c r="K311">
        <f>$AJ$29</f>
        <v>2.5</v>
      </c>
      <c r="M311">
        <f>$AJ$57</f>
        <v>0.75</v>
      </c>
      <c r="N311">
        <f t="shared" si="89"/>
        <v>0.5948500000000001</v>
      </c>
      <c r="P311">
        <f>$AJ$84</f>
        <v>14</v>
      </c>
      <c r="Q311">
        <f t="shared" si="96"/>
        <v>0.3733079325984448</v>
      </c>
      <c r="R311">
        <f t="shared" si="90"/>
        <v>0.99999627334682795</v>
      </c>
      <c r="S311">
        <v>1</v>
      </c>
      <c r="T311">
        <f t="shared" si="91"/>
        <v>0.37330654140925362</v>
      </c>
      <c r="U311">
        <v>15</v>
      </c>
      <c r="V311">
        <f t="shared" si="92"/>
        <v>8.5981629784939693E-3</v>
      </c>
      <c r="X311">
        <f t="shared" si="93"/>
        <v>91.25</v>
      </c>
      <c r="Y311">
        <f t="shared" si="94"/>
        <v>11.76873557681362</v>
      </c>
    </row>
    <row r="312" spans="1:25" x14ac:dyDescent="0.2">
      <c r="D312" t="s">
        <v>81</v>
      </c>
      <c r="F312">
        <v>0</v>
      </c>
      <c r="G312">
        <v>0</v>
      </c>
      <c r="H312">
        <v>0</v>
      </c>
      <c r="K312">
        <f>$AJ$30</f>
        <v>2.5</v>
      </c>
      <c r="M312">
        <f>$AJ$58</f>
        <v>0.55000000000000004</v>
      </c>
      <c r="N312">
        <f t="shared" si="89"/>
        <v>0.43585000000000007</v>
      </c>
      <c r="P312">
        <f>$AJ$85</f>
        <v>24</v>
      </c>
      <c r="Q312">
        <f t="shared" si="96"/>
        <v>0.41205872426603418</v>
      </c>
      <c r="R312">
        <f t="shared" si="90"/>
        <v>0.99999627334682795</v>
      </c>
      <c r="S312">
        <v>1</v>
      </c>
      <c r="T312">
        <f t="shared" si="91"/>
        <v>0.41205718866608232</v>
      </c>
      <c r="U312">
        <v>45</v>
      </c>
      <c r="V312">
        <f t="shared" si="92"/>
        <v>9.3266751469223488E-3</v>
      </c>
      <c r="X312">
        <f t="shared" si="93"/>
        <v>91.25</v>
      </c>
      <c r="Y312">
        <f t="shared" si="94"/>
        <v>38.297659822049894</v>
      </c>
    </row>
    <row r="313" spans="1:25" x14ac:dyDescent="0.2">
      <c r="D313" t="s">
        <v>82</v>
      </c>
      <c r="F313">
        <v>0</v>
      </c>
      <c r="G313">
        <v>0</v>
      </c>
      <c r="H313">
        <v>0</v>
      </c>
      <c r="K313">
        <f>$AJ$31</f>
        <v>1.3</v>
      </c>
      <c r="M313">
        <f>$AJ$59</f>
        <v>0.67</v>
      </c>
      <c r="N313">
        <f t="shared" si="89"/>
        <v>0.53125000000000011</v>
      </c>
      <c r="P313">
        <f>$AJ$86</f>
        <v>36</v>
      </c>
      <c r="Q313">
        <f t="shared" si="96"/>
        <v>0.75944776069416087</v>
      </c>
      <c r="R313">
        <f t="shared" si="90"/>
        <v>0.96595254526540064</v>
      </c>
      <c r="S313">
        <v>1</v>
      </c>
      <c r="T313">
        <f t="shared" si="91"/>
        <v>0.73359049743863358</v>
      </c>
      <c r="U313">
        <v>40</v>
      </c>
      <c r="V313">
        <f t="shared" si="92"/>
        <v>1.5371501351846312E-2</v>
      </c>
      <c r="X313">
        <f t="shared" si="93"/>
        <v>91.25</v>
      </c>
      <c r="Y313">
        <f t="shared" si="94"/>
        <v>56.105979934239038</v>
      </c>
    </row>
    <row r="314" spans="1:25" x14ac:dyDescent="0.2">
      <c r="D314" t="s">
        <v>83</v>
      </c>
      <c r="F314">
        <v>0</v>
      </c>
      <c r="G314">
        <v>0</v>
      </c>
      <c r="H314">
        <v>0</v>
      </c>
      <c r="K314">
        <f>$AJ$32</f>
        <v>0.8</v>
      </c>
      <c r="M314">
        <f>$AJ$60</f>
        <v>0.7</v>
      </c>
      <c r="N314">
        <f t="shared" si="89"/>
        <v>0.55510000000000004</v>
      </c>
      <c r="P314">
        <f>$AJ$87</f>
        <v>42</v>
      </c>
      <c r="Q314">
        <f t="shared" si="96"/>
        <v>0.92411404077093851</v>
      </c>
      <c r="R314">
        <f t="shared" si="90"/>
        <v>0.72196269954680592</v>
      </c>
      <c r="S314">
        <v>1</v>
      </c>
      <c r="T314">
        <f t="shared" si="91"/>
        <v>0.66717586756409386</v>
      </c>
      <c r="U314">
        <v>30</v>
      </c>
      <c r="V314">
        <f t="shared" si="92"/>
        <v>1.4122906310204965E-2</v>
      </c>
      <c r="X314">
        <f t="shared" si="93"/>
        <v>91.25</v>
      </c>
      <c r="Y314">
        <f t="shared" si="94"/>
        <v>38.661456024186094</v>
      </c>
    </row>
    <row r="325" spans="1:26" x14ac:dyDescent="0.2">
      <c r="M325" t="s">
        <v>80</v>
      </c>
      <c r="N325">
        <v>0.75</v>
      </c>
    </row>
    <row r="326" spans="1:26" x14ac:dyDescent="0.2">
      <c r="M326" t="s">
        <v>81</v>
      </c>
      <c r="N326">
        <v>0.55000000000000004</v>
      </c>
    </row>
    <row r="327" spans="1:26" x14ac:dyDescent="0.2">
      <c r="M327" t="s">
        <v>82</v>
      </c>
      <c r="N327">
        <v>0.67</v>
      </c>
    </row>
    <row r="328" spans="1:26" x14ac:dyDescent="0.2">
      <c r="M328" t="s">
        <v>83</v>
      </c>
      <c r="N328">
        <v>0.7</v>
      </c>
    </row>
    <row r="331" spans="1:26" x14ac:dyDescent="0.2">
      <c r="A331" t="s">
        <v>110</v>
      </c>
      <c r="B331" t="s">
        <v>102</v>
      </c>
      <c r="C331" t="s">
        <v>72</v>
      </c>
      <c r="D331" t="s">
        <v>81</v>
      </c>
      <c r="E331" t="s">
        <v>116</v>
      </c>
      <c r="F331">
        <v>0</v>
      </c>
      <c r="G331">
        <v>0</v>
      </c>
      <c r="H331">
        <f>(F331/100*MIN(G331,100)/100)</f>
        <v>0</v>
      </c>
      <c r="K331">
        <f t="shared" ref="K331:K332" si="99">$AE$30</f>
        <v>2.5</v>
      </c>
      <c r="M331">
        <f t="shared" ref="M331:M332" si="100">$AE$58</f>
        <v>0.55000000000000004</v>
      </c>
      <c r="N331">
        <f>(0.795 * M331) - 0.0014</f>
        <v>0.43585000000000007</v>
      </c>
      <c r="P331">
        <f t="shared" ref="P331:P332" si="101">$AE$85</f>
        <v>90</v>
      </c>
      <c r="Q331">
        <f t="shared" ref="Q331:Q332" si="102">(104.7 * N331 + 0.307 * P331- 15) * POWER(P331, 0.75) * 10^-3</f>
        <v>1.7024658722949466</v>
      </c>
      <c r="R331">
        <f t="shared" ref="R331:R332" si="103">1-EXP(-2*POWER(K331,2))</f>
        <v>0.99999627334682795</v>
      </c>
      <c r="S331">
        <v>1</v>
      </c>
      <c r="T331">
        <f t="shared" ref="T331:T332" si="104">Q331 * R331 * S331</f>
        <v>1.7024595277951033</v>
      </c>
      <c r="U331">
        <v>20</v>
      </c>
      <c r="V331">
        <f>(T331 * 0.0188) + 0.00158</f>
        <v>3.3586239122547941E-2</v>
      </c>
      <c r="X331">
        <v>31</v>
      </c>
      <c r="Y331">
        <f>U331*V331*X331</f>
        <v>20.823468255979723</v>
      </c>
      <c r="Z331">
        <f>SUM(Y331:Y378)*10^-3</f>
        <v>1.0851276670917087</v>
      </c>
    </row>
    <row r="332" spans="1:26" x14ac:dyDescent="0.2">
      <c r="D332" t="s">
        <v>81</v>
      </c>
      <c r="E332" t="s">
        <v>117</v>
      </c>
      <c r="F332">
        <v>0</v>
      </c>
      <c r="G332">
        <v>0</v>
      </c>
      <c r="H332">
        <f>(F332/100*MIN(G332,100)/100)</f>
        <v>0</v>
      </c>
      <c r="K332">
        <f t="shared" si="99"/>
        <v>2.5</v>
      </c>
      <c r="M332">
        <f t="shared" si="100"/>
        <v>0.55000000000000004</v>
      </c>
      <c r="N332">
        <f>(0.795 * M332) - 0.0014</f>
        <v>0.43585000000000007</v>
      </c>
      <c r="P332">
        <f t="shared" si="101"/>
        <v>90</v>
      </c>
      <c r="Q332">
        <f t="shared" si="102"/>
        <v>1.7024658722949466</v>
      </c>
      <c r="R332">
        <f t="shared" si="103"/>
        <v>0.99999627334682795</v>
      </c>
      <c r="S332">
        <v>1</v>
      </c>
      <c r="T332">
        <f t="shared" si="104"/>
        <v>1.7024595277951033</v>
      </c>
      <c r="U332">
        <v>20</v>
      </c>
      <c r="V332">
        <f>(T332 * 0.0188) + 0.00158</f>
        <v>3.3586239122547941E-2</v>
      </c>
      <c r="X332">
        <v>28</v>
      </c>
      <c r="Y332">
        <f>U332*V332*X332</f>
        <v>18.808293908626847</v>
      </c>
    </row>
    <row r="333" spans="1:26" x14ac:dyDescent="0.2">
      <c r="D333" t="s">
        <v>82</v>
      </c>
      <c r="E333" t="s">
        <v>118</v>
      </c>
      <c r="F333">
        <v>0</v>
      </c>
      <c r="G333">
        <v>0</v>
      </c>
      <c r="H333">
        <f>(F333/100*MIN(G333,100)/100)</f>
        <v>0</v>
      </c>
      <c r="K333">
        <f>$AE$31</f>
        <v>1.3</v>
      </c>
      <c r="M333">
        <f>$AE$59</f>
        <v>0.67</v>
      </c>
      <c r="N333">
        <f>(0.795 * M333) - 0.0014</f>
        <v>0.53125000000000011</v>
      </c>
      <c r="P333">
        <f>$AE$86</f>
        <v>75</v>
      </c>
      <c r="Q333">
        <f t="shared" ref="Q333" si="105">(104.7 * N333 + 0.307 * P333- 15) * POWER(P333, 0.75) * 10^-3</f>
        <v>1.6220828500688129</v>
      </c>
      <c r="R333">
        <f>1-EXP(-2*POWER(K333,2))</f>
        <v>0.96595254526540064</v>
      </c>
      <c r="S333">
        <v>1</v>
      </c>
      <c r="T333">
        <f>Q333 * R333 * S333</f>
        <v>1.5668550576553251</v>
      </c>
      <c r="U333">
        <v>19</v>
      </c>
      <c r="V333">
        <f>(T333 * 0.0188) + 0.00158</f>
        <v>3.1036875083920112E-2</v>
      </c>
      <c r="X333">
        <v>31</v>
      </c>
      <c r="Y333">
        <f>U333*V333*X333</f>
        <v>18.280719424428948</v>
      </c>
    </row>
    <row r="334" spans="1:26" x14ac:dyDescent="0.2">
      <c r="D334" t="s">
        <v>82</v>
      </c>
      <c r="E334" t="s">
        <v>119</v>
      </c>
      <c r="F334">
        <v>0</v>
      </c>
      <c r="G334">
        <v>0</v>
      </c>
      <c r="H334">
        <f>(F334/100*MIN(G334,100)/100)</f>
        <v>0</v>
      </c>
      <c r="K334">
        <f t="shared" ref="K334:K335" si="106">$AE$31</f>
        <v>1.3</v>
      </c>
      <c r="M334">
        <f t="shared" ref="M334:M335" si="107">$AE$59</f>
        <v>0.67</v>
      </c>
      <c r="N334">
        <f>(0.795 * M334) - 0.0014</f>
        <v>0.53125000000000011</v>
      </c>
      <c r="P334">
        <f t="shared" ref="P334:P335" si="108">$AE$86</f>
        <v>75</v>
      </c>
      <c r="Q334">
        <f t="shared" ref="Q334:Q335" si="109">(104.7 * N334 + 0.307 * P334- 15) * POWER(P334, 0.75) * 10^-3</f>
        <v>1.6220828500688129</v>
      </c>
      <c r="R334">
        <f t="shared" ref="R334:R335" si="110">1-EXP(-2*POWER(K334,2))</f>
        <v>0.96595254526540064</v>
      </c>
      <c r="S334">
        <v>1</v>
      </c>
      <c r="T334">
        <f t="shared" ref="T334:T335" si="111">Q334 * R334 * S334</f>
        <v>1.5668550576553251</v>
      </c>
      <c r="U334">
        <v>19</v>
      </c>
      <c r="V334">
        <f>(T334 * 0.0188) + 0.00158</f>
        <v>3.1036875083920112E-2</v>
      </c>
      <c r="X334">
        <v>30</v>
      </c>
      <c r="Y334">
        <f>U334*V334*X334</f>
        <v>17.691018797834467</v>
      </c>
      <c r="Z334">
        <f>SUM(Y331:Y342)</f>
        <v>247.00396212739781</v>
      </c>
    </row>
    <row r="335" spans="1:26" x14ac:dyDescent="0.2">
      <c r="D335" t="s">
        <v>82</v>
      </c>
      <c r="E335" t="s">
        <v>120</v>
      </c>
      <c r="F335">
        <v>0</v>
      </c>
      <c r="G335">
        <v>0</v>
      </c>
      <c r="H335">
        <f>(F335/100*MIN(G335,100)/100)</f>
        <v>0</v>
      </c>
      <c r="K335">
        <f t="shared" si="106"/>
        <v>1.3</v>
      </c>
      <c r="M335">
        <f t="shared" si="107"/>
        <v>0.67</v>
      </c>
      <c r="N335">
        <f>(0.795 * M335) - 0.0014</f>
        <v>0.53125000000000011</v>
      </c>
      <c r="P335">
        <f t="shared" si="108"/>
        <v>75</v>
      </c>
      <c r="Q335">
        <f t="shared" si="109"/>
        <v>1.6220828500688129</v>
      </c>
      <c r="R335">
        <f t="shared" si="110"/>
        <v>0.96595254526540064</v>
      </c>
      <c r="S335">
        <v>1</v>
      </c>
      <c r="T335">
        <f t="shared" si="111"/>
        <v>1.5668550576553251</v>
      </c>
      <c r="U335">
        <v>19</v>
      </c>
      <c r="V335">
        <f>(T335 * 0.0188) + 0.00158</f>
        <v>3.1036875083920112E-2</v>
      </c>
      <c r="X335">
        <v>31</v>
      </c>
      <c r="Y335">
        <f>U335*V335*X335</f>
        <v>18.280719424428948</v>
      </c>
    </row>
    <row r="336" spans="1:26" x14ac:dyDescent="0.2">
      <c r="D336" t="s">
        <v>83</v>
      </c>
      <c r="E336" t="s">
        <v>121</v>
      </c>
      <c r="F336">
        <v>0</v>
      </c>
      <c r="G336">
        <v>0</v>
      </c>
      <c r="H336">
        <f>(F336/100*MIN(G336,100)/100)</f>
        <v>0</v>
      </c>
      <c r="K336">
        <f>$AE$32</f>
        <v>0.8</v>
      </c>
      <c r="M336">
        <f>$AE$60</f>
        <v>0.7</v>
      </c>
      <c r="N336">
        <f>(0.795 * M336) - 0.0014</f>
        <v>0.55510000000000004</v>
      </c>
      <c r="P336">
        <f>$AE$87</f>
        <v>75</v>
      </c>
      <c r="Q336">
        <f>(104.7 * N336 + 0.307 * P336- 15) * POWER(P336, 0.75) * 10^-3</f>
        <v>1.6857229733976102</v>
      </c>
      <c r="R336">
        <f>1-EXP(-2*POWER(K336,2))</f>
        <v>0.72196269954680592</v>
      </c>
      <c r="S336">
        <v>1</v>
      </c>
      <c r="T336">
        <f>Q336 * R336 * S336</f>
        <v>1.2170291085622071</v>
      </c>
      <c r="U336">
        <v>25</v>
      </c>
      <c r="V336">
        <f>(T336 * 0.0188) + 0.00158</f>
        <v>2.4460147240969496E-2</v>
      </c>
      <c r="W336" s="2">
        <v>25</v>
      </c>
      <c r="X336" s="2">
        <v>25</v>
      </c>
      <c r="Y336">
        <f>U336*V336*X336</f>
        <v>15.287592025605933</v>
      </c>
    </row>
    <row r="337" spans="1:26" x14ac:dyDescent="0.2">
      <c r="D337" t="s">
        <v>83</v>
      </c>
      <c r="E337" t="s">
        <v>122</v>
      </c>
      <c r="F337">
        <v>0</v>
      </c>
      <c r="G337">
        <v>0</v>
      </c>
      <c r="H337">
        <f>(F337/100*MIN(G337,100)/100)</f>
        <v>0</v>
      </c>
      <c r="K337">
        <f t="shared" ref="K337:K338" si="112">$AE$32</f>
        <v>0.8</v>
      </c>
      <c r="M337">
        <f t="shared" ref="M337:M338" si="113">$AE$60</f>
        <v>0.7</v>
      </c>
      <c r="N337">
        <f>(0.795 * M337) - 0.0014</f>
        <v>0.55510000000000004</v>
      </c>
      <c r="P337">
        <f t="shared" ref="P337:P338" si="114">$AE$87</f>
        <v>75</v>
      </c>
      <c r="Q337">
        <f t="shared" ref="Q337:Q338" si="115">(104.7 * N337 + 0.307 * P337- 15) * POWER(P337, 0.75) * 10^-3</f>
        <v>1.6857229733976102</v>
      </c>
      <c r="R337">
        <f t="shared" ref="R337:R338" si="116">1-EXP(-2*POWER(K337,2))</f>
        <v>0.72196269954680592</v>
      </c>
      <c r="S337">
        <v>1</v>
      </c>
      <c r="T337">
        <f t="shared" ref="T337:T338" si="117">Q337 * R337 * S337</f>
        <v>1.2170291085622071</v>
      </c>
      <c r="U337">
        <v>25</v>
      </c>
      <c r="V337">
        <f>(T337 * 0.0188) + 0.00158</f>
        <v>2.4460147240969496E-2</v>
      </c>
      <c r="X337">
        <v>31</v>
      </c>
      <c r="Y337">
        <f>U337*V337*X337</f>
        <v>18.956614111751357</v>
      </c>
    </row>
    <row r="338" spans="1:26" x14ac:dyDescent="0.2">
      <c r="D338" t="s">
        <v>83</v>
      </c>
      <c r="E338" t="s">
        <v>123</v>
      </c>
      <c r="F338">
        <v>0</v>
      </c>
      <c r="G338">
        <v>0</v>
      </c>
      <c r="H338">
        <f>(F338/100*MIN(G338,100)/100)</f>
        <v>0</v>
      </c>
      <c r="K338">
        <f t="shared" si="112"/>
        <v>0.8</v>
      </c>
      <c r="M338">
        <f t="shared" si="113"/>
        <v>0.7</v>
      </c>
      <c r="N338">
        <f>(0.795 * M338) - 0.0014</f>
        <v>0.55510000000000004</v>
      </c>
      <c r="P338">
        <f t="shared" si="114"/>
        <v>75</v>
      </c>
      <c r="Q338">
        <f t="shared" si="115"/>
        <v>1.6857229733976102</v>
      </c>
      <c r="R338">
        <f t="shared" si="116"/>
        <v>0.72196269954680592</v>
      </c>
      <c r="S338">
        <v>1</v>
      </c>
      <c r="T338">
        <f t="shared" si="117"/>
        <v>1.2170291085622071</v>
      </c>
      <c r="U338">
        <v>25</v>
      </c>
      <c r="V338">
        <f>(T338 * 0.0188) + 0.00158</f>
        <v>2.4460147240969496E-2</v>
      </c>
      <c r="X338">
        <v>31</v>
      </c>
      <c r="Y338">
        <f>U338*V338*X338</f>
        <v>18.956614111751357</v>
      </c>
    </row>
    <row r="339" spans="1:26" x14ac:dyDescent="0.2">
      <c r="D339" t="s">
        <v>80</v>
      </c>
      <c r="E339" t="s">
        <v>112</v>
      </c>
      <c r="F339">
        <v>0</v>
      </c>
      <c r="G339">
        <v>0</v>
      </c>
      <c r="H339">
        <f>(F339/100*MIN(G339,100)/100)</f>
        <v>0</v>
      </c>
      <c r="K339">
        <f>$AE$29</f>
        <v>2.5</v>
      </c>
      <c r="M339">
        <f>$AE$57</f>
        <v>0.75</v>
      </c>
      <c r="N339">
        <f>(0.795 * M339) - 0.0014</f>
        <v>0.5948500000000001</v>
      </c>
      <c r="P339">
        <f>$AE$84</f>
        <v>90</v>
      </c>
      <c r="Q339">
        <f>(104.7 * N339 + 0.307 * P339- 15) * POWER(P339, 0.75) * 10^-3</f>
        <v>2.188901849330922</v>
      </c>
      <c r="R339">
        <f>1-EXP(-2*POWER(K339,2))</f>
        <v>0.99999627334682795</v>
      </c>
      <c r="S339">
        <v>1</v>
      </c>
      <c r="T339">
        <f>Q339 * R339 * S339</f>
        <v>2.1888936920529019</v>
      </c>
      <c r="U339">
        <v>25</v>
      </c>
      <c r="V339">
        <f>(T339 * 0.0188) + 0.00158</f>
        <v>4.2731201410594555E-2</v>
      </c>
      <c r="W339" s="2">
        <v>24</v>
      </c>
      <c r="X339" s="2">
        <v>24</v>
      </c>
      <c r="Y339">
        <f>U339*V339*X339</f>
        <v>25.638720846356733</v>
      </c>
    </row>
    <row r="340" spans="1:26" x14ac:dyDescent="0.2">
      <c r="D340" t="s">
        <v>80</v>
      </c>
      <c r="E340" t="s">
        <v>113</v>
      </c>
      <c r="F340">
        <v>0</v>
      </c>
      <c r="G340">
        <v>0</v>
      </c>
      <c r="H340">
        <f>(F340/100*MIN(G340,100)/100)</f>
        <v>0</v>
      </c>
      <c r="K340">
        <f t="shared" ref="K340:K341" si="118">$AE$29</f>
        <v>2.5</v>
      </c>
      <c r="M340">
        <f t="shared" ref="M340:M341" si="119">$AE$57</f>
        <v>0.75</v>
      </c>
      <c r="N340">
        <f>(0.795 * M340) - 0.0014</f>
        <v>0.5948500000000001</v>
      </c>
      <c r="P340">
        <f t="shared" ref="P340:P341" si="120">$AE$84</f>
        <v>90</v>
      </c>
      <c r="Q340">
        <f t="shared" ref="Q340:Q341" si="121">(104.7 * N340 + 0.307 * P340- 15) * POWER(P340, 0.75) * 10^-3</f>
        <v>2.188901849330922</v>
      </c>
      <c r="R340">
        <f t="shared" ref="R340:R341" si="122">1-EXP(-2*POWER(K340,2))</f>
        <v>0.99999627334682795</v>
      </c>
      <c r="S340">
        <v>1</v>
      </c>
      <c r="T340">
        <f t="shared" ref="T340:T341" si="123">Q340 * R340 * S340</f>
        <v>2.1888936920529019</v>
      </c>
      <c r="U340">
        <v>21</v>
      </c>
      <c r="V340">
        <f>(T340 * 0.0188) + 0.00158</f>
        <v>4.2731201410594555E-2</v>
      </c>
      <c r="X340">
        <v>31</v>
      </c>
      <c r="Y340">
        <f t="shared" ref="Y340:Y341" si="124">U340*V340*X340</f>
        <v>27.818012118297055</v>
      </c>
    </row>
    <row r="341" spans="1:26" x14ac:dyDescent="0.2">
      <c r="D341" t="s">
        <v>80</v>
      </c>
      <c r="E341" t="s">
        <v>114</v>
      </c>
      <c r="F341">
        <v>0</v>
      </c>
      <c r="G341">
        <v>0</v>
      </c>
      <c r="H341">
        <f>(F341/100*MIN(G341,100)/100)</f>
        <v>0</v>
      </c>
      <c r="K341">
        <f t="shared" si="118"/>
        <v>2.5</v>
      </c>
      <c r="M341">
        <f t="shared" si="119"/>
        <v>0.75</v>
      </c>
      <c r="N341">
        <f>(0.795 * M341) - 0.0014</f>
        <v>0.5948500000000001</v>
      </c>
      <c r="P341">
        <f t="shared" si="120"/>
        <v>90</v>
      </c>
      <c r="Q341">
        <f t="shared" si="121"/>
        <v>2.188901849330922</v>
      </c>
      <c r="R341">
        <f t="shared" si="122"/>
        <v>0.99999627334682795</v>
      </c>
      <c r="S341">
        <v>1</v>
      </c>
      <c r="T341">
        <f t="shared" si="123"/>
        <v>2.1888936920529019</v>
      </c>
      <c r="U341">
        <v>20</v>
      </c>
      <c r="V341">
        <f>(T341 * 0.0188) + 0.00158</f>
        <v>4.2731201410594555E-2</v>
      </c>
      <c r="X341">
        <v>30</v>
      </c>
      <c r="Y341">
        <f t="shared" si="124"/>
        <v>25.638720846356733</v>
      </c>
    </row>
    <row r="342" spans="1:26" x14ac:dyDescent="0.2">
      <c r="D342" t="s">
        <v>81</v>
      </c>
      <c r="E342" t="s">
        <v>115</v>
      </c>
      <c r="F342">
        <v>0</v>
      </c>
      <c r="G342">
        <v>0</v>
      </c>
      <c r="H342">
        <f>(F342/100*MIN(G342,100)/100)</f>
        <v>0</v>
      </c>
      <c r="K342">
        <f>$AE$30</f>
        <v>2.5</v>
      </c>
      <c r="M342">
        <f>$AE$58</f>
        <v>0.55000000000000004</v>
      </c>
      <c r="N342">
        <f>(0.795 * M342) - 0.0014</f>
        <v>0.43585000000000007</v>
      </c>
      <c r="P342">
        <f>$AE$85</f>
        <v>90</v>
      </c>
      <c r="Q342">
        <f>(104.7 * N342 + 0.307 * P342- 15) * POWER(P342, 0.75) * 10^-3</f>
        <v>1.7024658722949466</v>
      </c>
      <c r="R342">
        <f t="shared" ref="R342" si="125">1-EXP(-2*POWER(K342,2))</f>
        <v>0.99999627334682795</v>
      </c>
      <c r="S342">
        <v>1</v>
      </c>
      <c r="T342">
        <f t="shared" ref="T342" si="126">Q342 * R342 * S342</f>
        <v>1.7024595277951033</v>
      </c>
      <c r="U342">
        <v>20</v>
      </c>
      <c r="V342">
        <f>(T342 * 0.0188) + 0.00158</f>
        <v>3.3586239122547941E-2</v>
      </c>
      <c r="X342">
        <v>31</v>
      </c>
      <c r="Y342">
        <f>U342*V342*X342</f>
        <v>20.823468255979723</v>
      </c>
    </row>
    <row r="343" spans="1:26" x14ac:dyDescent="0.2">
      <c r="A343">
        <v>2</v>
      </c>
      <c r="C343" t="s">
        <v>73</v>
      </c>
      <c r="D343" t="s">
        <v>81</v>
      </c>
      <c r="E343" t="s">
        <v>116</v>
      </c>
      <c r="F343">
        <v>0</v>
      </c>
      <c r="G343">
        <v>0</v>
      </c>
      <c r="H343">
        <f>(F343/100*MIN(G343,100)/100)</f>
        <v>0</v>
      </c>
      <c r="K343">
        <f t="shared" ref="K343:K344" si="127">$AF$30</f>
        <v>2.5</v>
      </c>
      <c r="M343">
        <f t="shared" ref="M343:M344" si="128">$AF$58</f>
        <v>0.55000000000000004</v>
      </c>
      <c r="N343">
        <f t="shared" ref="N343:N344" si="129">(0.795 * M343) - 0.0014</f>
        <v>0.43585000000000007</v>
      </c>
      <c r="P343">
        <f t="shared" ref="P343:P344" si="130">$AF$85</f>
        <v>55</v>
      </c>
      <c r="Q343">
        <f t="shared" ref="Q343:Q344" si="131">(104.7 * N343 + 0.307 * P343- 15) * POWER(P343, 0.75) * 10^-3</f>
        <v>0.95969823125361531</v>
      </c>
      <c r="R343">
        <f t="shared" ref="R343:R344" si="132">1-EXP(-2*POWER(K343,2))</f>
        <v>0.99999627334682795</v>
      </c>
      <c r="S343">
        <v>1</v>
      </c>
      <c r="T343">
        <f t="shared" ref="T343:T344" si="133">Q343 * R343 * S343</f>
        <v>0.95969465479115756</v>
      </c>
      <c r="U343">
        <v>60</v>
      </c>
      <c r="V343">
        <f>(T343 * 0.0188) + 0.00158</f>
        <v>1.9622259510073764E-2</v>
      </c>
      <c r="X343">
        <v>31</v>
      </c>
      <c r="Y343">
        <f>U343*V343*X343</f>
        <v>36.497402688737196</v>
      </c>
      <c r="Z343">
        <f>SUM(Y343:Y354)</f>
        <v>398.56804122405254</v>
      </c>
    </row>
    <row r="344" spans="1:26" x14ac:dyDescent="0.2">
      <c r="D344" t="s">
        <v>81</v>
      </c>
      <c r="E344" t="s">
        <v>117</v>
      </c>
      <c r="F344">
        <v>0</v>
      </c>
      <c r="G344">
        <v>0</v>
      </c>
      <c r="H344">
        <f>(F344/100*MIN(G344,100)/100)</f>
        <v>0</v>
      </c>
      <c r="K344">
        <f t="shared" si="127"/>
        <v>2.5</v>
      </c>
      <c r="M344">
        <f t="shared" si="128"/>
        <v>0.55000000000000004</v>
      </c>
      <c r="N344">
        <f t="shared" si="129"/>
        <v>0.43585000000000007</v>
      </c>
      <c r="P344">
        <f t="shared" si="130"/>
        <v>55</v>
      </c>
      <c r="Q344">
        <f t="shared" si="131"/>
        <v>0.95969823125361531</v>
      </c>
      <c r="R344">
        <f t="shared" si="132"/>
        <v>0.99999627334682795</v>
      </c>
      <c r="S344">
        <v>1</v>
      </c>
      <c r="T344">
        <f t="shared" si="133"/>
        <v>0.95969465479115756</v>
      </c>
      <c r="U344">
        <v>60</v>
      </c>
      <c r="V344">
        <f>(T344 * 0.0188) + 0.00158</f>
        <v>1.9622259510073764E-2</v>
      </c>
      <c r="X344">
        <v>28</v>
      </c>
      <c r="Y344">
        <f>U344*V344*X344</f>
        <v>32.965395976923922</v>
      </c>
    </row>
    <row r="345" spans="1:26" x14ac:dyDescent="0.2">
      <c r="D345" t="s">
        <v>82</v>
      </c>
      <c r="E345" t="s">
        <v>118</v>
      </c>
      <c r="F345">
        <v>0</v>
      </c>
      <c r="G345">
        <v>0</v>
      </c>
      <c r="H345">
        <f>(F345/100*MIN(G345,100)/100)</f>
        <v>0</v>
      </c>
      <c r="K345">
        <f>$AF$31</f>
        <v>1.3</v>
      </c>
      <c r="M345">
        <f>$AF$59</f>
        <v>0.67</v>
      </c>
      <c r="N345">
        <f>(0.795 * M345) - 0.0014</f>
        <v>0.53125000000000011</v>
      </c>
      <c r="P345">
        <f>$AF$86</f>
        <v>50</v>
      </c>
      <c r="Q345">
        <f>(104.7 * N345 + 0.307 * P345- 15) * POWER(P345, 0.75) * 10^-3</f>
        <v>1.052440031254225</v>
      </c>
      <c r="R345">
        <f>1-EXP(-2*POWER(K345,2))</f>
        <v>0.96595254526540064</v>
      </c>
      <c r="S345">
        <v>1</v>
      </c>
      <c r="T345">
        <f>Q345 * R345 * S345</f>
        <v>1.0166071269292165</v>
      </c>
      <c r="U345">
        <v>55</v>
      </c>
      <c r="V345">
        <f>(T345 * 0.0188) + 0.00158</f>
        <v>2.0692213986269272E-2</v>
      </c>
      <c r="X345">
        <v>31</v>
      </c>
      <c r="Y345">
        <f>U345*V345*X345</f>
        <v>35.280224846589107</v>
      </c>
    </row>
    <row r="346" spans="1:26" x14ac:dyDescent="0.2">
      <c r="D346" t="s">
        <v>82</v>
      </c>
      <c r="E346" t="s">
        <v>119</v>
      </c>
      <c r="F346">
        <v>0</v>
      </c>
      <c r="G346">
        <v>0</v>
      </c>
      <c r="H346">
        <f>(F346/100*MIN(G346,100)/100)</f>
        <v>0</v>
      </c>
      <c r="K346">
        <f t="shared" ref="K346:K347" si="134">$AF$31</f>
        <v>1.3</v>
      </c>
      <c r="M346">
        <f t="shared" ref="M346:M347" si="135">$AF$59</f>
        <v>0.67</v>
      </c>
      <c r="N346">
        <f t="shared" ref="N346:N347" si="136">(0.795 * M346) - 0.0014</f>
        <v>0.53125000000000011</v>
      </c>
      <c r="P346">
        <f t="shared" ref="P346:P347" si="137">$AF$86</f>
        <v>50</v>
      </c>
      <c r="Q346">
        <f t="shared" ref="Q346:Q347" si="138">(104.7 * N346 + 0.307 * P346- 15) * POWER(P346, 0.75) * 10^-3</f>
        <v>1.052440031254225</v>
      </c>
      <c r="R346">
        <f t="shared" ref="R346:R347" si="139">1-EXP(-2*POWER(K346,2))</f>
        <v>0.96595254526540064</v>
      </c>
      <c r="S346">
        <v>1</v>
      </c>
      <c r="T346">
        <f t="shared" ref="T346:T347" si="140">Q346 * R346 * S346</f>
        <v>1.0166071269292165</v>
      </c>
      <c r="U346">
        <v>55</v>
      </c>
      <c r="V346">
        <f>(T346 * 0.0188) + 0.00158</f>
        <v>2.0692213986269272E-2</v>
      </c>
      <c r="X346">
        <v>30</v>
      </c>
      <c r="Y346">
        <f>U346*V346*X346</f>
        <v>34.142153077344297</v>
      </c>
    </row>
    <row r="347" spans="1:26" x14ac:dyDescent="0.2">
      <c r="D347" t="s">
        <v>82</v>
      </c>
      <c r="E347" t="s">
        <v>120</v>
      </c>
      <c r="F347">
        <v>0</v>
      </c>
      <c r="G347">
        <v>0</v>
      </c>
      <c r="H347">
        <f>(F347/100*MIN(G347,100)/100)</f>
        <v>0</v>
      </c>
      <c r="K347">
        <f t="shared" si="134"/>
        <v>1.3</v>
      </c>
      <c r="M347">
        <f t="shared" si="135"/>
        <v>0.67</v>
      </c>
      <c r="N347">
        <f t="shared" si="136"/>
        <v>0.53125000000000011</v>
      </c>
      <c r="P347">
        <f t="shared" si="137"/>
        <v>50</v>
      </c>
      <c r="Q347">
        <f t="shared" si="138"/>
        <v>1.052440031254225</v>
      </c>
      <c r="R347">
        <f t="shared" si="139"/>
        <v>0.96595254526540064</v>
      </c>
      <c r="S347">
        <v>1</v>
      </c>
      <c r="T347">
        <f t="shared" si="140"/>
        <v>1.0166071269292165</v>
      </c>
      <c r="U347">
        <v>55</v>
      </c>
      <c r="V347">
        <f>(T347 * 0.0188) + 0.00158</f>
        <v>2.0692213986269272E-2</v>
      </c>
      <c r="X347">
        <v>31</v>
      </c>
      <c r="Y347">
        <f>U347*V347*X347</f>
        <v>35.280224846589107</v>
      </c>
    </row>
    <row r="348" spans="1:26" x14ac:dyDescent="0.2">
      <c r="D348" t="s">
        <v>83</v>
      </c>
      <c r="E348" t="s">
        <v>121</v>
      </c>
      <c r="F348">
        <v>0</v>
      </c>
      <c r="G348">
        <v>0</v>
      </c>
      <c r="H348">
        <f>(F348/100*MIN(G348,100)/100)</f>
        <v>0</v>
      </c>
      <c r="K348">
        <f>$AF$32</f>
        <v>0.8</v>
      </c>
      <c r="M348">
        <f>$AF$60</f>
        <v>0.7</v>
      </c>
      <c r="N348">
        <f>(0.795 * M348) - 0.0014</f>
        <v>0.55510000000000004</v>
      </c>
      <c r="P348">
        <f>$AF$87</f>
        <v>45</v>
      </c>
      <c r="Q348">
        <f>(104.7 * N348 + 0.307 * P348- 15) * POWER(P348, 0.75) * 10^-3</f>
        <v>0.98919258792655118</v>
      </c>
      <c r="R348">
        <f>1-EXP(-2*POWER(K348,2))</f>
        <v>0.72196269954680592</v>
      </c>
      <c r="S348">
        <v>1</v>
      </c>
      <c r="T348">
        <f>Q348 * R348 * S348</f>
        <v>0.71416015115114406</v>
      </c>
      <c r="U348">
        <v>55</v>
      </c>
      <c r="V348">
        <f>(T348 * 0.0188) + 0.00158</f>
        <v>1.5006210841641509E-2</v>
      </c>
      <c r="X348">
        <v>30</v>
      </c>
      <c r="Y348">
        <f>U348*V348*X348</f>
        <v>24.760247888708491</v>
      </c>
    </row>
    <row r="349" spans="1:26" x14ac:dyDescent="0.2">
      <c r="D349" t="s">
        <v>83</v>
      </c>
      <c r="E349" t="s">
        <v>122</v>
      </c>
      <c r="F349">
        <v>0</v>
      </c>
      <c r="G349">
        <v>0</v>
      </c>
      <c r="H349">
        <f>(F349/100*MIN(G349,100)/100)</f>
        <v>0</v>
      </c>
      <c r="K349">
        <f t="shared" ref="K349:K350" si="141">$AF$32</f>
        <v>0.8</v>
      </c>
      <c r="M349">
        <f t="shared" ref="M349:M350" si="142">$AF$60</f>
        <v>0.7</v>
      </c>
      <c r="N349">
        <f t="shared" ref="N349:N350" si="143">(0.795 * M349) - 0.0014</f>
        <v>0.55510000000000004</v>
      </c>
      <c r="P349">
        <f t="shared" ref="P349:P350" si="144">$AF$87</f>
        <v>45</v>
      </c>
      <c r="Q349">
        <f t="shared" ref="Q349:Q350" si="145">(104.7 * N349 + 0.307 * P349- 15) * POWER(P349, 0.75) * 10^-3</f>
        <v>0.98919258792655118</v>
      </c>
      <c r="R349">
        <f t="shared" ref="R349:R350" si="146">1-EXP(-2*POWER(K349,2))</f>
        <v>0.72196269954680592</v>
      </c>
      <c r="S349">
        <v>1</v>
      </c>
      <c r="T349">
        <f t="shared" ref="T349:T350" si="147">Q349 * R349 * S349</f>
        <v>0.71416015115114406</v>
      </c>
      <c r="U349">
        <v>54</v>
      </c>
      <c r="V349">
        <f>(T349 * 0.0188) + 0.00158</f>
        <v>1.5006210841641509E-2</v>
      </c>
      <c r="X349">
        <v>31</v>
      </c>
      <c r="Y349">
        <f>U349*V349*X349</f>
        <v>25.120396948907885</v>
      </c>
    </row>
    <row r="350" spans="1:26" x14ac:dyDescent="0.2">
      <c r="D350" t="s">
        <v>83</v>
      </c>
      <c r="E350" t="s">
        <v>123</v>
      </c>
      <c r="F350">
        <v>0</v>
      </c>
      <c r="G350">
        <v>0</v>
      </c>
      <c r="H350">
        <f>(F350/100*MIN(G350,100)/100)</f>
        <v>0</v>
      </c>
      <c r="K350">
        <f t="shared" si="141"/>
        <v>0.8</v>
      </c>
      <c r="M350">
        <f t="shared" si="142"/>
        <v>0.7</v>
      </c>
      <c r="N350">
        <f t="shared" si="143"/>
        <v>0.55510000000000004</v>
      </c>
      <c r="P350">
        <f t="shared" si="144"/>
        <v>45</v>
      </c>
      <c r="Q350">
        <f t="shared" si="145"/>
        <v>0.98919258792655118</v>
      </c>
      <c r="R350">
        <f t="shared" si="146"/>
        <v>0.72196269954680592</v>
      </c>
      <c r="S350">
        <v>1</v>
      </c>
      <c r="T350">
        <f t="shared" si="147"/>
        <v>0.71416015115114406</v>
      </c>
      <c r="U350">
        <v>54</v>
      </c>
      <c r="V350">
        <f>(T350 * 0.0188) + 0.00158</f>
        <v>1.5006210841641509E-2</v>
      </c>
      <c r="X350">
        <v>31</v>
      </c>
      <c r="Y350">
        <f>U350*V350*X350</f>
        <v>25.120396948907885</v>
      </c>
    </row>
    <row r="351" spans="1:26" x14ac:dyDescent="0.2">
      <c r="D351" t="s">
        <v>80</v>
      </c>
      <c r="E351" t="s">
        <v>112</v>
      </c>
      <c r="F351">
        <v>0</v>
      </c>
      <c r="G351">
        <v>0</v>
      </c>
      <c r="H351">
        <f>(F351/100*MIN(G351,100)/100)</f>
        <v>0</v>
      </c>
      <c r="K351">
        <f>$AF$29</f>
        <v>2.5</v>
      </c>
      <c r="M351">
        <f>$AF$57</f>
        <v>0.75</v>
      </c>
      <c r="N351">
        <f>(0.795 * M351) - 0.0014</f>
        <v>0.5948500000000001</v>
      </c>
      <c r="P351">
        <f>$AF$84</f>
        <v>55</v>
      </c>
      <c r="Q351">
        <f>(104.7 * N351 + 0.307 * P351- 15) * POWER(P351, 0.75) * 10^-3</f>
        <v>1.2959122541335131</v>
      </c>
      <c r="R351">
        <f>1-EXP(-2*POWER(K351,2))</f>
        <v>0.99999627334682795</v>
      </c>
      <c r="S351">
        <v>1</v>
      </c>
      <c r="T351">
        <f>Q351 * R351 * S351</f>
        <v>1.2959074247180005</v>
      </c>
      <c r="U351">
        <v>50</v>
      </c>
      <c r="V351">
        <f>(T351 * 0.0188) + 0.00158</f>
        <v>2.5943059584698412E-2</v>
      </c>
      <c r="W351" s="2">
        <v>20</v>
      </c>
      <c r="X351" s="2">
        <v>20</v>
      </c>
      <c r="Y351">
        <f>U351*V351*X351</f>
        <v>25.94305958469841</v>
      </c>
    </row>
    <row r="352" spans="1:26" x14ac:dyDescent="0.2">
      <c r="D352" t="s">
        <v>80</v>
      </c>
      <c r="E352" t="s">
        <v>113</v>
      </c>
      <c r="F352">
        <v>0</v>
      </c>
      <c r="G352">
        <v>0</v>
      </c>
      <c r="H352">
        <f>(F352/100*MIN(G352,100)/100)</f>
        <v>0</v>
      </c>
      <c r="K352">
        <f t="shared" ref="K352:K353" si="148">$AF$29</f>
        <v>2.5</v>
      </c>
      <c r="M352">
        <f t="shared" ref="M352:M353" si="149">$AF$57</f>
        <v>0.75</v>
      </c>
      <c r="N352">
        <f t="shared" ref="N352:N353" si="150">(0.795 * M352) - 0.0014</f>
        <v>0.5948500000000001</v>
      </c>
      <c r="P352">
        <f t="shared" ref="P352:P353" si="151">$AF$84</f>
        <v>55</v>
      </c>
      <c r="Q352">
        <f t="shared" ref="Q352:Q353" si="152">(104.7 * N352 + 0.307 * P352- 15) * POWER(P352, 0.75) * 10^-3</f>
        <v>1.2959122541335131</v>
      </c>
      <c r="R352">
        <f t="shared" ref="R352:R353" si="153">1-EXP(-2*POWER(K352,2))</f>
        <v>0.99999627334682795</v>
      </c>
      <c r="S352">
        <v>1</v>
      </c>
      <c r="T352">
        <f t="shared" ref="T352:T353" si="154">Q352 * R352 * S352</f>
        <v>1.2959074247180005</v>
      </c>
      <c r="U352">
        <v>52</v>
      </c>
      <c r="V352">
        <f>(T352 * 0.0188) + 0.00158</f>
        <v>2.5943059584698412E-2</v>
      </c>
      <c r="X352">
        <v>31</v>
      </c>
      <c r="Y352">
        <f>U352*V352*X352</f>
        <v>41.82021205053384</v>
      </c>
    </row>
    <row r="353" spans="1:25" x14ac:dyDescent="0.2">
      <c r="D353" t="s">
        <v>80</v>
      </c>
      <c r="E353" t="s">
        <v>114</v>
      </c>
      <c r="F353">
        <v>0</v>
      </c>
      <c r="G353">
        <v>0</v>
      </c>
      <c r="H353">
        <f>(F353/100*MIN(G353,100)/100)</f>
        <v>0</v>
      </c>
      <c r="K353">
        <f t="shared" si="148"/>
        <v>2.5</v>
      </c>
      <c r="M353">
        <f t="shared" si="149"/>
        <v>0.75</v>
      </c>
      <c r="N353">
        <f t="shared" si="150"/>
        <v>0.5948500000000001</v>
      </c>
      <c r="P353">
        <f t="shared" si="151"/>
        <v>55</v>
      </c>
      <c r="Q353">
        <f t="shared" si="152"/>
        <v>1.2959122541335131</v>
      </c>
      <c r="R353">
        <f t="shared" si="153"/>
        <v>0.99999627334682795</v>
      </c>
      <c r="S353">
        <v>1</v>
      </c>
      <c r="T353">
        <f t="shared" si="154"/>
        <v>1.2959074247180005</v>
      </c>
      <c r="U353">
        <v>58</v>
      </c>
      <c r="V353">
        <f>(T353 * 0.0188) + 0.00158</f>
        <v>2.5943059584698412E-2</v>
      </c>
      <c r="X353">
        <v>30</v>
      </c>
      <c r="Y353">
        <f>U353*V353*X353</f>
        <v>45.140923677375241</v>
      </c>
    </row>
    <row r="354" spans="1:25" x14ac:dyDescent="0.2">
      <c r="D354" t="s">
        <v>81</v>
      </c>
      <c r="E354" t="s">
        <v>115</v>
      </c>
      <c r="F354">
        <v>0</v>
      </c>
      <c r="G354">
        <v>0</v>
      </c>
      <c r="H354">
        <f>(F354/100*MIN(G354,100)/100)</f>
        <v>0</v>
      </c>
      <c r="K354">
        <f>$AF$30</f>
        <v>2.5</v>
      </c>
      <c r="M354">
        <f>$AF$58</f>
        <v>0.55000000000000004</v>
      </c>
      <c r="N354">
        <f>(0.795 * M354) - 0.0014</f>
        <v>0.43585000000000007</v>
      </c>
      <c r="P354">
        <f>$AF$85</f>
        <v>55</v>
      </c>
      <c r="Q354">
        <f>(104.7 * N354 + 0.307 * P354- 15) * POWER(P354, 0.75) * 10^-3</f>
        <v>0.95969823125361531</v>
      </c>
      <c r="R354">
        <f>1-EXP(-2*POWER(K354,2))</f>
        <v>0.99999627334682795</v>
      </c>
      <c r="S354">
        <v>1</v>
      </c>
      <c r="T354">
        <f>Q354 * R354 * S354</f>
        <v>0.95969465479115756</v>
      </c>
      <c r="U354">
        <v>60</v>
      </c>
      <c r="V354">
        <f>(T354 * 0.0188) + 0.00158</f>
        <v>1.9622259510073764E-2</v>
      </c>
      <c r="X354">
        <v>31</v>
      </c>
      <c r="Y354">
        <f>U354*V354*X354</f>
        <v>36.497402688737196</v>
      </c>
    </row>
    <row r="355" spans="1:25" x14ac:dyDescent="0.2">
      <c r="A355">
        <v>4</v>
      </c>
      <c r="C355" t="s">
        <v>75</v>
      </c>
      <c r="D355" t="s">
        <v>81</v>
      </c>
      <c r="E355" t="s">
        <v>116</v>
      </c>
      <c r="F355">
        <v>0</v>
      </c>
      <c r="G355">
        <v>0</v>
      </c>
      <c r="H355">
        <f>(F355/100*MIN(G355,100)/100)</f>
        <v>0</v>
      </c>
      <c r="K355">
        <f t="shared" ref="K355:K356" si="155">$AH$30</f>
        <v>2.5</v>
      </c>
      <c r="M355">
        <f t="shared" ref="M355:M356" si="156">$AH$58</f>
        <v>0.55000000000000004</v>
      </c>
      <c r="N355">
        <f t="shared" ref="N355:N356" si="157">(0.795 * M355) - 0.0014</f>
        <v>0.43585000000000007</v>
      </c>
      <c r="P355">
        <f t="shared" ref="P355:P356" si="158">$AH$85</f>
        <v>50</v>
      </c>
      <c r="Q355">
        <f t="shared" ref="Q355:Q356" si="159">(104.7 * N355 + 0.307 * P355- 15) * POWER(P355, 0.75) * 10^-3</f>
        <v>0.8646283676396137</v>
      </c>
      <c r="R355">
        <f t="shared" ref="R355:R356" si="160">1-EXP(-2*POWER(K355,2))</f>
        <v>0.99999627334682795</v>
      </c>
      <c r="S355">
        <f t="shared" ref="S355:S356" si="161">(H355 * I355) + (1 - H355)</f>
        <v>1</v>
      </c>
      <c r="T355">
        <f t="shared" ref="T355:T356" si="162">Q355 * R355 * S355</f>
        <v>0.86462514546956482</v>
      </c>
      <c r="U355">
        <v>44</v>
      </c>
      <c r="V355">
        <f>(T355 * 0.0188) + 0.00158</f>
        <v>1.7834952734827821E-2</v>
      </c>
      <c r="X355">
        <v>31</v>
      </c>
      <c r="Y355">
        <f>U355*V355*X355</f>
        <v>24.326875530305148</v>
      </c>
    </row>
    <row r="356" spans="1:25" x14ac:dyDescent="0.2">
      <c r="D356" t="s">
        <v>81</v>
      </c>
      <c r="E356" t="s">
        <v>117</v>
      </c>
      <c r="F356">
        <v>0</v>
      </c>
      <c r="G356">
        <v>0</v>
      </c>
      <c r="H356">
        <f>(F356/100*MIN(G356,100)/100)</f>
        <v>0</v>
      </c>
      <c r="K356">
        <f t="shared" si="155"/>
        <v>2.5</v>
      </c>
      <c r="M356">
        <f t="shared" si="156"/>
        <v>0.55000000000000004</v>
      </c>
      <c r="N356">
        <f t="shared" si="157"/>
        <v>0.43585000000000007</v>
      </c>
      <c r="P356">
        <f t="shared" si="158"/>
        <v>50</v>
      </c>
      <c r="Q356">
        <f t="shared" si="159"/>
        <v>0.8646283676396137</v>
      </c>
      <c r="R356">
        <f t="shared" si="160"/>
        <v>0.99999627334682795</v>
      </c>
      <c r="S356">
        <f t="shared" si="161"/>
        <v>1</v>
      </c>
      <c r="T356">
        <f t="shared" si="162"/>
        <v>0.86462514546956482</v>
      </c>
      <c r="U356">
        <v>42</v>
      </c>
      <c r="V356">
        <f>(T356 * 0.0188) + 0.00158</f>
        <v>1.7834952734827821E-2</v>
      </c>
      <c r="X356">
        <v>28</v>
      </c>
      <c r="Y356">
        <f>U356*V356*X356</f>
        <v>20.97390441615752</v>
      </c>
    </row>
    <row r="357" spans="1:25" x14ac:dyDescent="0.2">
      <c r="D357" t="s">
        <v>82</v>
      </c>
      <c r="E357" t="s">
        <v>118</v>
      </c>
      <c r="F357">
        <v>0</v>
      </c>
      <c r="G357">
        <v>0</v>
      </c>
      <c r="H357">
        <f>(F357/100*MIN(G357,100)/100)</f>
        <v>0</v>
      </c>
      <c r="K357">
        <f>$AH$31</f>
        <v>1.3</v>
      </c>
      <c r="M357">
        <f>$AH$59</f>
        <v>0.67</v>
      </c>
      <c r="N357">
        <f>(0.795 * M357) - 0.0014</f>
        <v>0.53125000000000011</v>
      </c>
      <c r="P357">
        <f>$AH$86</f>
        <v>50</v>
      </c>
      <c r="Q357">
        <f>(104.7 * N357 + 0.307 * P357- 15) * POWER(P357, 0.75) * 10^-3</f>
        <v>1.052440031254225</v>
      </c>
      <c r="R357">
        <f>1-EXP(-2*POWER(K357,2))</f>
        <v>0.96595254526540064</v>
      </c>
      <c r="S357">
        <f>(H357 * I357) + (1 - H357)</f>
        <v>1</v>
      </c>
      <c r="T357">
        <f>Q357 * R357 * S357</f>
        <v>1.0166071269292165</v>
      </c>
      <c r="U357">
        <v>40</v>
      </c>
      <c r="V357">
        <f>(T357 * 0.0188) + 0.00158</f>
        <v>2.0692213986269272E-2</v>
      </c>
      <c r="X357">
        <v>31</v>
      </c>
      <c r="Y357">
        <f>U357*V357*X357</f>
        <v>25.658345342973899</v>
      </c>
    </row>
    <row r="358" spans="1:25" x14ac:dyDescent="0.2">
      <c r="D358" t="s">
        <v>82</v>
      </c>
      <c r="E358" t="s">
        <v>119</v>
      </c>
      <c r="F358">
        <v>0</v>
      </c>
      <c r="G358">
        <v>0</v>
      </c>
      <c r="H358">
        <f>(F358/100*MIN(G358,100)/100)</f>
        <v>0</v>
      </c>
      <c r="K358">
        <f t="shared" ref="K358:K359" si="163">$AH$31</f>
        <v>1.3</v>
      </c>
      <c r="M358">
        <f t="shared" ref="M358:M359" si="164">$AH$59</f>
        <v>0.67</v>
      </c>
      <c r="N358">
        <f t="shared" ref="N358:N359" si="165">(0.795 * M358) - 0.0014</f>
        <v>0.53125000000000011</v>
      </c>
      <c r="P358">
        <f t="shared" ref="P358:P359" si="166">$AH$86</f>
        <v>50</v>
      </c>
      <c r="Q358">
        <f t="shared" ref="Q358:Q359" si="167">(104.7 * N358 + 0.307 * P358- 15) * POWER(P358, 0.75) * 10^-3</f>
        <v>1.052440031254225</v>
      </c>
      <c r="R358">
        <f t="shared" ref="R358:R359" si="168">1-EXP(-2*POWER(K358,2))</f>
        <v>0.96595254526540064</v>
      </c>
      <c r="S358">
        <f t="shared" ref="S358:S359" si="169">(H358 * I358) + (1 - H358)</f>
        <v>1</v>
      </c>
      <c r="T358">
        <f t="shared" ref="T358:T359" si="170">Q358 * R358 * S358</f>
        <v>1.0166071269292165</v>
      </c>
      <c r="U358">
        <v>39</v>
      </c>
      <c r="V358">
        <f>(T358 * 0.0188) + 0.00158</f>
        <v>2.0692213986269272E-2</v>
      </c>
      <c r="X358">
        <v>30</v>
      </c>
      <c r="Y358">
        <f>U358*V358*X358</f>
        <v>24.209890363935049</v>
      </c>
    </row>
    <row r="359" spans="1:25" x14ac:dyDescent="0.2">
      <c r="D359" t="s">
        <v>82</v>
      </c>
      <c r="E359" t="s">
        <v>120</v>
      </c>
      <c r="F359">
        <v>0</v>
      </c>
      <c r="G359">
        <v>0</v>
      </c>
      <c r="H359">
        <f>(F359/100*MIN(G359,100)/100)</f>
        <v>0</v>
      </c>
      <c r="K359">
        <f t="shared" si="163"/>
        <v>1.3</v>
      </c>
      <c r="M359">
        <f t="shared" si="164"/>
        <v>0.67</v>
      </c>
      <c r="N359">
        <f t="shared" si="165"/>
        <v>0.53125000000000011</v>
      </c>
      <c r="P359">
        <f t="shared" si="166"/>
        <v>50</v>
      </c>
      <c r="Q359">
        <f t="shared" si="167"/>
        <v>1.052440031254225</v>
      </c>
      <c r="R359">
        <f t="shared" si="168"/>
        <v>0.96595254526540064</v>
      </c>
      <c r="S359">
        <f t="shared" si="169"/>
        <v>1</v>
      </c>
      <c r="T359">
        <f t="shared" si="170"/>
        <v>1.0166071269292165</v>
      </c>
      <c r="U359">
        <v>38</v>
      </c>
      <c r="V359">
        <f>(T359 * 0.0188) + 0.00158</f>
        <v>2.0692213986269272E-2</v>
      </c>
      <c r="X359">
        <v>31</v>
      </c>
      <c r="Y359">
        <f>U359*V359*X359</f>
        <v>24.375428075825202</v>
      </c>
    </row>
    <row r="360" spans="1:25" x14ac:dyDescent="0.2">
      <c r="D360" t="s">
        <v>83</v>
      </c>
      <c r="E360" t="s">
        <v>121</v>
      </c>
      <c r="F360">
        <v>0</v>
      </c>
      <c r="G360">
        <v>0</v>
      </c>
      <c r="H360">
        <f>(F360/100*MIN(G360,100)/100)</f>
        <v>0</v>
      </c>
      <c r="K360">
        <f>$AH$32</f>
        <v>0.8</v>
      </c>
      <c r="M360">
        <f>$AH$60</f>
        <v>0.7</v>
      </c>
      <c r="N360">
        <f>(0.795 * M360) - 0.0014</f>
        <v>0.55510000000000004</v>
      </c>
      <c r="P360">
        <f>$AH$87</f>
        <v>55</v>
      </c>
      <c r="Q360">
        <f>(104.7 * N360 + 0.307 * P360- 15) * POWER(P360, 0.75) * 10^-3</f>
        <v>1.2118587484135388</v>
      </c>
      <c r="R360">
        <f>1-EXP(-2*POWER(K360,2))</f>
        <v>0.72196269954680592</v>
      </c>
      <c r="S360">
        <f>(H360 * I360) + (1 - H360)</f>
        <v>1</v>
      </c>
      <c r="T360">
        <f>Q360 * R360 * S360</f>
        <v>0.87491681347405192</v>
      </c>
      <c r="U360">
        <v>35</v>
      </c>
      <c r="V360">
        <f>(T360 * 0.0188) + 0.00158</f>
        <v>1.8028436093312179E-2</v>
      </c>
      <c r="X360">
        <v>30</v>
      </c>
      <c r="Y360">
        <f>U360*V360*X360</f>
        <v>18.929857897977787</v>
      </c>
    </row>
    <row r="361" spans="1:25" x14ac:dyDescent="0.2">
      <c r="D361" t="s">
        <v>83</v>
      </c>
      <c r="E361" t="s">
        <v>122</v>
      </c>
      <c r="F361">
        <v>0</v>
      </c>
      <c r="G361">
        <v>0</v>
      </c>
      <c r="H361">
        <f>(F361/100*MIN(G361,100)/100)</f>
        <v>0</v>
      </c>
      <c r="K361">
        <f t="shared" ref="K361:K362" si="171">$AH$32</f>
        <v>0.8</v>
      </c>
      <c r="M361">
        <f t="shared" ref="M361:M362" si="172">$AH$60</f>
        <v>0.7</v>
      </c>
      <c r="N361">
        <f t="shared" ref="N361:N362" si="173">(0.795 * M361) - 0.0014</f>
        <v>0.55510000000000004</v>
      </c>
      <c r="P361">
        <f t="shared" ref="P361:P362" si="174">$AH$87</f>
        <v>55</v>
      </c>
      <c r="Q361">
        <f t="shared" ref="Q361:Q362" si="175">(104.7 * N361 + 0.307 * P361- 15) * POWER(P361, 0.75) * 10^-3</f>
        <v>1.2118587484135388</v>
      </c>
      <c r="R361">
        <f t="shared" ref="R361:R362" si="176">1-EXP(-2*POWER(K361,2))</f>
        <v>0.72196269954680592</v>
      </c>
      <c r="S361">
        <f t="shared" ref="S361:S362" si="177">(H361 * I361) + (1 - H361)</f>
        <v>1</v>
      </c>
      <c r="T361">
        <f t="shared" ref="T361:T362" si="178">Q361 * R361 * S361</f>
        <v>0.87491681347405192</v>
      </c>
      <c r="U361">
        <v>36</v>
      </c>
      <c r="V361">
        <f>(T361 * 0.0188) + 0.00158</f>
        <v>1.8028436093312179E-2</v>
      </c>
      <c r="X361">
        <v>31</v>
      </c>
      <c r="Y361">
        <f>U361*V361*X361</f>
        <v>20.119734680136393</v>
      </c>
    </row>
    <row r="362" spans="1:25" x14ac:dyDescent="0.2">
      <c r="D362" t="s">
        <v>83</v>
      </c>
      <c r="E362" t="s">
        <v>123</v>
      </c>
      <c r="F362">
        <v>0</v>
      </c>
      <c r="G362">
        <v>0</v>
      </c>
      <c r="H362">
        <f>(F362/100*MIN(G362,100)/100)</f>
        <v>0</v>
      </c>
      <c r="K362">
        <f t="shared" si="171"/>
        <v>0.8</v>
      </c>
      <c r="M362">
        <f t="shared" si="172"/>
        <v>0.7</v>
      </c>
      <c r="N362">
        <f t="shared" si="173"/>
        <v>0.55510000000000004</v>
      </c>
      <c r="P362">
        <f t="shared" si="174"/>
        <v>55</v>
      </c>
      <c r="Q362">
        <f t="shared" si="175"/>
        <v>1.2118587484135388</v>
      </c>
      <c r="R362">
        <f t="shared" si="176"/>
        <v>0.72196269954680592</v>
      </c>
      <c r="S362">
        <f t="shared" si="177"/>
        <v>1</v>
      </c>
      <c r="T362">
        <f t="shared" si="178"/>
        <v>0.87491681347405192</v>
      </c>
      <c r="U362">
        <v>37</v>
      </c>
      <c r="V362">
        <f>(T362 * 0.0188) + 0.00158</f>
        <v>1.8028436093312179E-2</v>
      </c>
      <c r="X362">
        <v>31</v>
      </c>
      <c r="Y362">
        <f>U362*V362*X362</f>
        <v>20.678616199029069</v>
      </c>
    </row>
    <row r="363" spans="1:25" x14ac:dyDescent="0.2">
      <c r="D363" t="s">
        <v>80</v>
      </c>
      <c r="E363" t="s">
        <v>112</v>
      </c>
      <c r="F363">
        <v>25</v>
      </c>
      <c r="G363">
        <v>24</v>
      </c>
      <c r="H363">
        <f>(F363/100*MIN(G363,100)/100)</f>
        <v>0.06</v>
      </c>
      <c r="I363">
        <f>$AE$3</f>
        <v>1.3</v>
      </c>
      <c r="K363">
        <f>$AH$29</f>
        <v>2.5</v>
      </c>
      <c r="M363">
        <f>$AH$57</f>
        <v>0.75</v>
      </c>
      <c r="N363">
        <f>(0.795 * M363) - 0.0014</f>
        <v>0.5948500000000001</v>
      </c>
      <c r="P363">
        <f>$AH$84</f>
        <v>50</v>
      </c>
      <c r="Q363">
        <f t="shared" ref="Q363" si="179">(104.7 * N363 + 0.307 * P363- 15) * POWER(P363, 0.75) * 10^-3</f>
        <v>1.1776478069972991</v>
      </c>
      <c r="R363">
        <f>1-EXP(-2*POWER(K363,2))</f>
        <v>0.99999627334682795</v>
      </c>
      <c r="S363">
        <f t="shared" ref="S363" si="180">(H363 * I363) + (1 - H363)</f>
        <v>1.018</v>
      </c>
      <c r="T363">
        <f>Q363 * R363 * S363</f>
        <v>1.1988409998419862</v>
      </c>
      <c r="U363">
        <v>40</v>
      </c>
      <c r="V363">
        <f>(T363 * 0.0188) + 0.00158</f>
        <v>2.4118210797029343E-2</v>
      </c>
      <c r="X363">
        <v>30</v>
      </c>
      <c r="Y363">
        <f>U363*V363*X363</f>
        <v>28.941852956435213</v>
      </c>
    </row>
    <row r="364" spans="1:25" x14ac:dyDescent="0.2">
      <c r="D364" t="s">
        <v>80</v>
      </c>
      <c r="E364" t="s">
        <v>113</v>
      </c>
      <c r="F364">
        <v>30</v>
      </c>
      <c r="G364">
        <v>28</v>
      </c>
      <c r="H364">
        <f>(F364/100*MIN(G364,100)/100)</f>
        <v>8.4000000000000005E-2</v>
      </c>
      <c r="I364">
        <f t="shared" ref="I364:I365" si="181">$AE$3</f>
        <v>1.3</v>
      </c>
      <c r="K364">
        <f t="shared" ref="K364:K365" si="182">$AH$29</f>
        <v>2.5</v>
      </c>
      <c r="M364">
        <f t="shared" ref="M364:M365" si="183">$AH$57</f>
        <v>0.75</v>
      </c>
      <c r="N364">
        <f t="shared" ref="N364:N365" si="184">(0.795 * M364) - 0.0014</f>
        <v>0.5948500000000001</v>
      </c>
      <c r="P364">
        <f t="shared" ref="P364:P365" si="185">$AH$84</f>
        <v>50</v>
      </c>
      <c r="Q364">
        <f t="shared" ref="Q364:Q365" si="186">(104.7 * N364 + 0.307 * P364- 15) * POWER(P364, 0.75) * 10^-3</f>
        <v>1.1776478069972991</v>
      </c>
      <c r="R364">
        <f t="shared" ref="R364:R365" si="187">1-EXP(-2*POWER(K364,2))</f>
        <v>0.99999627334682795</v>
      </c>
      <c r="S364">
        <f t="shared" ref="S364:S365" si="188">(H364 * I364) + (1 - H364)</f>
        <v>1.0252000000000001</v>
      </c>
      <c r="T364">
        <f t="shared" ref="T364:T365" si="189">Q364 * R364 * S364</f>
        <v>1.2073200324538353</v>
      </c>
      <c r="U364">
        <v>42</v>
      </c>
      <c r="V364">
        <f>(T364 * 0.0188) + 0.00158</f>
        <v>2.4277616610132106E-2</v>
      </c>
      <c r="X364">
        <v>31</v>
      </c>
      <c r="Y364">
        <f>U364*V364*X364</f>
        <v>31.609456826392002</v>
      </c>
    </row>
    <row r="365" spans="1:25" x14ac:dyDescent="0.2">
      <c r="D365" t="s">
        <v>80</v>
      </c>
      <c r="E365" t="s">
        <v>114</v>
      </c>
      <c r="F365">
        <v>35</v>
      </c>
      <c r="G365">
        <v>32</v>
      </c>
      <c r="H365">
        <f>(F365/100*MIN(G365,100)/100)</f>
        <v>0.11199999999999999</v>
      </c>
      <c r="I365">
        <f t="shared" si="181"/>
        <v>1.3</v>
      </c>
      <c r="K365">
        <f t="shared" si="182"/>
        <v>2.5</v>
      </c>
      <c r="M365">
        <f t="shared" si="183"/>
        <v>0.75</v>
      </c>
      <c r="N365">
        <f t="shared" si="184"/>
        <v>0.5948500000000001</v>
      </c>
      <c r="P365">
        <f t="shared" si="185"/>
        <v>50</v>
      </c>
      <c r="Q365">
        <f t="shared" si="186"/>
        <v>1.1776478069972991</v>
      </c>
      <c r="R365">
        <f t="shared" si="187"/>
        <v>0.99999627334682795</v>
      </c>
      <c r="S365">
        <f t="shared" si="188"/>
        <v>1.0336000000000001</v>
      </c>
      <c r="T365">
        <f t="shared" si="189"/>
        <v>1.217212237167659</v>
      </c>
      <c r="U365">
        <v>43</v>
      </c>
      <c r="V365">
        <f>(T365 * 0.0188) + 0.00158</f>
        <v>2.4463590058751993E-2</v>
      </c>
      <c r="X365">
        <v>30</v>
      </c>
      <c r="Y365">
        <f>U365*V365*X365</f>
        <v>31.55803117579007</v>
      </c>
    </row>
    <row r="366" spans="1:25" x14ac:dyDescent="0.2">
      <c r="D366" t="s">
        <v>81</v>
      </c>
      <c r="E366" t="s">
        <v>115</v>
      </c>
      <c r="F366">
        <v>5</v>
      </c>
      <c r="G366">
        <v>3</v>
      </c>
      <c r="H366">
        <f>(F366/100*MIN(G366,100)/100)</f>
        <v>1.5000000000000002E-3</v>
      </c>
      <c r="I366">
        <f>$AE$3</f>
        <v>1.3</v>
      </c>
      <c r="K366">
        <f>$AH$30</f>
        <v>2.5</v>
      </c>
      <c r="M366">
        <f>$AH$58</f>
        <v>0.55000000000000004</v>
      </c>
      <c r="N366">
        <f>(0.795 * M366) - 0.0014</f>
        <v>0.43585000000000007</v>
      </c>
      <c r="P366">
        <f>$AH$85</f>
        <v>50</v>
      </c>
      <c r="Q366">
        <f>(104.7 * N366 + 0.307 * P366- 15) * POWER(P366, 0.75) * 10^-3</f>
        <v>0.8646283676396137</v>
      </c>
      <c r="R366">
        <f>1-EXP(-2*POWER(K366,2))</f>
        <v>0.99999627334682795</v>
      </c>
      <c r="S366">
        <f>(H366 * I366) + (1 - H366)</f>
        <v>1.0004500000000001</v>
      </c>
      <c r="T366">
        <f>Q366 * R366 * S366</f>
        <v>0.86501422678502615</v>
      </c>
      <c r="U366">
        <v>45</v>
      </c>
      <c r="V366">
        <f>(T366 * 0.0188) + 0.00158</f>
        <v>1.7842267463558492E-2</v>
      </c>
      <c r="X366">
        <v>31</v>
      </c>
      <c r="Y366">
        <f>U366*V366*X366</f>
        <v>24.889963111664098</v>
      </c>
    </row>
    <row r="367" spans="1:25" x14ac:dyDescent="0.2">
      <c r="A367">
        <v>6</v>
      </c>
      <c r="C367" t="s">
        <v>77</v>
      </c>
      <c r="D367" t="s">
        <v>81</v>
      </c>
      <c r="E367" t="s">
        <v>116</v>
      </c>
      <c r="F367">
        <v>0</v>
      </c>
      <c r="G367">
        <v>0</v>
      </c>
      <c r="H367">
        <f>(F367/100*MIN(G367,100)/100)</f>
        <v>0</v>
      </c>
      <c r="K367">
        <f t="shared" ref="K367:K368" si="190">$AJ$30</f>
        <v>2.5</v>
      </c>
      <c r="M367">
        <f t="shared" ref="M367:M368" si="191">$AJ$58</f>
        <v>0.55000000000000004</v>
      </c>
      <c r="N367">
        <f t="shared" ref="N367:N368" si="192">(0.795 * M367) - 0.0014</f>
        <v>0.43585000000000007</v>
      </c>
      <c r="P367">
        <f t="shared" ref="P367:P368" si="193">$AJ$85</f>
        <v>24</v>
      </c>
      <c r="Q367">
        <f t="shared" ref="Q367:Q368" si="194">(104.7 * N367 + 0.307 * P367- 15) * POWER(P367, 0.75) * 10^-3</f>
        <v>0.41205872426603418</v>
      </c>
      <c r="R367">
        <f t="shared" ref="R367:R368" si="195">1-EXP(-2*POWER(K367,2))</f>
        <v>0.99999627334682795</v>
      </c>
      <c r="S367">
        <v>1</v>
      </c>
      <c r="T367">
        <f t="shared" ref="T367:T368" si="196">Q367 * R367 * S367</f>
        <v>0.41205718866608232</v>
      </c>
      <c r="U367">
        <v>44</v>
      </c>
      <c r="V367">
        <f>(T367 * 0.0188) + 0.00158</f>
        <v>9.3266751469223488E-3</v>
      </c>
      <c r="X367">
        <v>31</v>
      </c>
      <c r="Y367">
        <f>U367*V367*X367</f>
        <v>12.721584900402085</v>
      </c>
    </row>
    <row r="368" spans="1:25" x14ac:dyDescent="0.2">
      <c r="D368" t="s">
        <v>81</v>
      </c>
      <c r="E368" t="s">
        <v>117</v>
      </c>
      <c r="F368">
        <v>0</v>
      </c>
      <c r="G368">
        <v>0</v>
      </c>
      <c r="H368">
        <f>(F368/100*MIN(G368,100)/100)</f>
        <v>0</v>
      </c>
      <c r="K368">
        <f t="shared" si="190"/>
        <v>2.5</v>
      </c>
      <c r="M368">
        <f t="shared" si="191"/>
        <v>0.55000000000000004</v>
      </c>
      <c r="N368">
        <f t="shared" si="192"/>
        <v>0.43585000000000007</v>
      </c>
      <c r="P368">
        <f t="shared" si="193"/>
        <v>24</v>
      </c>
      <c r="Q368">
        <f t="shared" si="194"/>
        <v>0.41205872426603418</v>
      </c>
      <c r="R368">
        <f t="shared" si="195"/>
        <v>0.99999627334682795</v>
      </c>
      <c r="S368">
        <v>1</v>
      </c>
      <c r="T368">
        <f t="shared" si="196"/>
        <v>0.41205718866608232</v>
      </c>
      <c r="U368">
        <v>44</v>
      </c>
      <c r="V368">
        <f>(T368 * 0.0188) + 0.00158</f>
        <v>9.3266751469223488E-3</v>
      </c>
      <c r="X368">
        <v>28</v>
      </c>
      <c r="Y368">
        <f>U368*V368*X368</f>
        <v>11.490463781008334</v>
      </c>
    </row>
    <row r="369" spans="4:25" x14ac:dyDescent="0.2">
      <c r="D369" t="s">
        <v>82</v>
      </c>
      <c r="E369" t="s">
        <v>118</v>
      </c>
      <c r="F369">
        <v>0</v>
      </c>
      <c r="G369">
        <v>0</v>
      </c>
      <c r="H369">
        <f>(F369/100*MIN(G369,100)/100)</f>
        <v>0</v>
      </c>
      <c r="K369">
        <f>$AJ$31</f>
        <v>1.3</v>
      </c>
      <c r="M369">
        <f>$AJ$59</f>
        <v>0.67</v>
      </c>
      <c r="N369">
        <f>(0.795 * M369) - 0.0014</f>
        <v>0.53125000000000011</v>
      </c>
      <c r="P369">
        <f>$AJ$86</f>
        <v>36</v>
      </c>
      <c r="Q369">
        <f>(104.7 * N369 + 0.307 * P369- 15) * POWER(P369, 0.75) * 10^-3</f>
        <v>0.75944776069416087</v>
      </c>
      <c r="R369">
        <f>1-EXP(-2*POWER(K369,2))</f>
        <v>0.96595254526540064</v>
      </c>
      <c r="S369">
        <v>1</v>
      </c>
      <c r="T369">
        <f>Q369 * R369 * S369</f>
        <v>0.73359049743863358</v>
      </c>
      <c r="U369">
        <v>40</v>
      </c>
      <c r="V369">
        <f>(T369 * 0.0188) + 0.00158</f>
        <v>1.5371501351846312E-2</v>
      </c>
      <c r="X369">
        <v>31</v>
      </c>
      <c r="Y369">
        <f>U369*V369*X369</f>
        <v>19.060661676289428</v>
      </c>
    </row>
    <row r="370" spans="4:25" x14ac:dyDescent="0.2">
      <c r="D370" t="s">
        <v>82</v>
      </c>
      <c r="E370" t="s">
        <v>119</v>
      </c>
      <c r="F370">
        <v>0</v>
      </c>
      <c r="G370">
        <v>0</v>
      </c>
      <c r="H370">
        <f>(F370/100*MIN(G370,100)/100)</f>
        <v>0</v>
      </c>
      <c r="K370">
        <f t="shared" ref="K370:K371" si="197">$AJ$31</f>
        <v>1.3</v>
      </c>
      <c r="M370">
        <f t="shared" ref="M370:M371" si="198">$AJ$59</f>
        <v>0.67</v>
      </c>
      <c r="N370">
        <f t="shared" ref="N370:N371" si="199">(0.795 * M370) - 0.0014</f>
        <v>0.53125000000000011</v>
      </c>
      <c r="P370">
        <f t="shared" ref="P370:P371" si="200">$AJ$86</f>
        <v>36</v>
      </c>
      <c r="Q370">
        <f t="shared" ref="Q370:Q371" si="201">(104.7 * N370 + 0.307 * P370- 15) * POWER(P370, 0.75) * 10^-3</f>
        <v>0.75944776069416087</v>
      </c>
      <c r="R370">
        <f t="shared" ref="R370:R371" si="202">1-EXP(-2*POWER(K370,2))</f>
        <v>0.96595254526540064</v>
      </c>
      <c r="S370">
        <v>1</v>
      </c>
      <c r="T370">
        <f t="shared" ref="T370:T371" si="203">Q370 * R370 * S370</f>
        <v>0.73359049743863358</v>
      </c>
      <c r="U370">
        <v>38</v>
      </c>
      <c r="V370">
        <f>(T370 * 0.0188) + 0.00158</f>
        <v>1.5371501351846312E-2</v>
      </c>
      <c r="X370">
        <v>30</v>
      </c>
      <c r="Y370">
        <f>U370*V370*X370</f>
        <v>17.523511541104796</v>
      </c>
    </row>
    <row r="371" spans="4:25" x14ac:dyDescent="0.2">
      <c r="D371" t="s">
        <v>82</v>
      </c>
      <c r="E371" t="s">
        <v>120</v>
      </c>
      <c r="F371">
        <v>0</v>
      </c>
      <c r="G371">
        <v>0</v>
      </c>
      <c r="H371">
        <f>(F371/100*MIN(G371,100)/100)</f>
        <v>0</v>
      </c>
      <c r="K371">
        <f t="shared" si="197"/>
        <v>1.3</v>
      </c>
      <c r="M371">
        <f t="shared" si="198"/>
        <v>0.67</v>
      </c>
      <c r="N371">
        <f t="shared" si="199"/>
        <v>0.53125000000000011</v>
      </c>
      <c r="P371">
        <f t="shared" si="200"/>
        <v>36</v>
      </c>
      <c r="Q371">
        <f t="shared" si="201"/>
        <v>0.75944776069416087</v>
      </c>
      <c r="R371">
        <f t="shared" si="202"/>
        <v>0.96595254526540064</v>
      </c>
      <c r="S371">
        <v>1</v>
      </c>
      <c r="T371">
        <f t="shared" si="203"/>
        <v>0.73359049743863358</v>
      </c>
      <c r="U371">
        <v>36</v>
      </c>
      <c r="V371">
        <f>(T371 * 0.0188) + 0.00158</f>
        <v>1.5371501351846312E-2</v>
      </c>
      <c r="X371">
        <v>31</v>
      </c>
      <c r="Y371">
        <f>U371*V371*X371</f>
        <v>17.154595508660485</v>
      </c>
    </row>
    <row r="372" spans="4:25" x14ac:dyDescent="0.2">
      <c r="D372" t="s">
        <v>83</v>
      </c>
      <c r="E372" t="s">
        <v>121</v>
      </c>
      <c r="F372">
        <v>0</v>
      </c>
      <c r="G372">
        <v>0</v>
      </c>
      <c r="H372">
        <f>(F372/100*MIN(G372,100)/100)</f>
        <v>0</v>
      </c>
      <c r="K372">
        <f>$AJ$32</f>
        <v>0.8</v>
      </c>
      <c r="M372">
        <f>$AJ$60</f>
        <v>0.7</v>
      </c>
      <c r="N372">
        <f>(0.795 * M372) - 0.0014</f>
        <v>0.55510000000000004</v>
      </c>
      <c r="P372">
        <f>$AJ$87</f>
        <v>42</v>
      </c>
      <c r="Q372">
        <f>(104.7 * N372 + 0.307 * P372- 15) * POWER(P372, 0.75) * 10^-3</f>
        <v>0.92411404077093851</v>
      </c>
      <c r="R372">
        <f>1-EXP(-2*POWER(K372,2))</f>
        <v>0.72196269954680592</v>
      </c>
      <c r="S372">
        <v>1</v>
      </c>
      <c r="T372">
        <f>Q372 * R372 * S372</f>
        <v>0.66717586756409386</v>
      </c>
      <c r="U372">
        <v>30</v>
      </c>
      <c r="V372">
        <f>(T372 * 0.0188) + 0.00158</f>
        <v>1.4122906310204965E-2</v>
      </c>
      <c r="X372">
        <v>30</v>
      </c>
      <c r="Y372">
        <f>U372*V372*X372</f>
        <v>12.710615679184469</v>
      </c>
    </row>
    <row r="373" spans="4:25" x14ac:dyDescent="0.2">
      <c r="D373" t="s">
        <v>83</v>
      </c>
      <c r="E373" t="s">
        <v>122</v>
      </c>
      <c r="F373">
        <v>0</v>
      </c>
      <c r="G373">
        <v>0</v>
      </c>
      <c r="H373">
        <f>(F373/100*MIN(G373,100)/100)</f>
        <v>0</v>
      </c>
      <c r="K373">
        <f t="shared" ref="K373:K374" si="204">$AJ$32</f>
        <v>0.8</v>
      </c>
      <c r="M373">
        <f t="shared" ref="M373:M374" si="205">$AJ$60</f>
        <v>0.7</v>
      </c>
      <c r="N373">
        <f t="shared" ref="N373:N374" si="206">(0.795 * M373) - 0.0014</f>
        <v>0.55510000000000004</v>
      </c>
      <c r="P373">
        <f t="shared" ref="P373:P374" si="207">$AJ$87</f>
        <v>42</v>
      </c>
      <c r="Q373">
        <f t="shared" ref="Q373:Q374" si="208">(104.7 * N373 + 0.307 * P373- 15) * POWER(P373, 0.75) * 10^-3</f>
        <v>0.92411404077093851</v>
      </c>
      <c r="R373">
        <f t="shared" ref="R373:R374" si="209">1-EXP(-2*POWER(K373,2))</f>
        <v>0.72196269954680592</v>
      </c>
      <c r="S373">
        <v>1</v>
      </c>
      <c r="T373">
        <f t="shared" ref="T373:T374" si="210">Q373 * R373 * S373</f>
        <v>0.66717586756409386</v>
      </c>
      <c r="U373">
        <v>31</v>
      </c>
      <c r="V373">
        <f>(T373 * 0.0188) + 0.00158</f>
        <v>1.4122906310204965E-2</v>
      </c>
      <c r="X373">
        <v>31</v>
      </c>
      <c r="Y373">
        <f>U373*V373*X373</f>
        <v>13.572112964106971</v>
      </c>
    </row>
    <row r="374" spans="4:25" x14ac:dyDescent="0.2">
      <c r="D374" t="s">
        <v>83</v>
      </c>
      <c r="E374" t="s">
        <v>123</v>
      </c>
      <c r="F374">
        <v>0</v>
      </c>
      <c r="G374">
        <v>0</v>
      </c>
      <c r="H374">
        <f>(F374/100*MIN(G374,100)/100)</f>
        <v>0</v>
      </c>
      <c r="K374">
        <f t="shared" si="204"/>
        <v>0.8</v>
      </c>
      <c r="M374">
        <f t="shared" si="205"/>
        <v>0.7</v>
      </c>
      <c r="N374">
        <f t="shared" si="206"/>
        <v>0.55510000000000004</v>
      </c>
      <c r="P374">
        <f t="shared" si="207"/>
        <v>42</v>
      </c>
      <c r="Q374">
        <f t="shared" si="208"/>
        <v>0.92411404077093851</v>
      </c>
      <c r="R374">
        <f t="shared" si="209"/>
        <v>0.72196269954680592</v>
      </c>
      <c r="S374">
        <v>1</v>
      </c>
      <c r="T374">
        <f t="shared" si="210"/>
        <v>0.66717586756409386</v>
      </c>
      <c r="U374">
        <v>31</v>
      </c>
      <c r="V374">
        <f>(T374 * 0.0188) + 0.00158</f>
        <v>1.4122906310204965E-2</v>
      </c>
      <c r="X374">
        <v>31</v>
      </c>
      <c r="Y374">
        <f>U374*V374*X374</f>
        <v>13.572112964106971</v>
      </c>
    </row>
    <row r="375" spans="4:25" x14ac:dyDescent="0.2">
      <c r="D375" t="s">
        <v>80</v>
      </c>
      <c r="E375" t="s">
        <v>112</v>
      </c>
      <c r="F375">
        <v>0</v>
      </c>
      <c r="G375">
        <v>0</v>
      </c>
      <c r="H375">
        <f>(F375/100*MIN(G375,100)/100)</f>
        <v>0</v>
      </c>
      <c r="K375">
        <f>$AJ$29</f>
        <v>2.5</v>
      </c>
      <c r="M375">
        <f>$AJ$57</f>
        <v>0.75</v>
      </c>
      <c r="N375">
        <f>(0.795 * M375) - 0.0014</f>
        <v>0.5948500000000001</v>
      </c>
      <c r="P375">
        <f>$AJ$84</f>
        <v>14</v>
      </c>
      <c r="Q375">
        <f>(104.7 * N375 + 0.307 * P375- 15) * POWER(P375, 0.75) * 10^-3</f>
        <v>0.3733079325984448</v>
      </c>
      <c r="R375">
        <f>1-EXP(-2*POWER(K375,2))</f>
        <v>0.99999627334682795</v>
      </c>
      <c r="S375">
        <v>1</v>
      </c>
      <c r="T375">
        <f>Q375 * R375 * S375</f>
        <v>0.37330654140925362</v>
      </c>
      <c r="U375">
        <v>15</v>
      </c>
      <c r="V375">
        <f>(T375 * 0.0188) + 0.00158</f>
        <v>8.5981629784939693E-3</v>
      </c>
      <c r="W375" s="2">
        <v>18</v>
      </c>
      <c r="X375" s="2">
        <v>18</v>
      </c>
      <c r="Y375">
        <f>U375*V375*X375</f>
        <v>2.3215040041933719</v>
      </c>
    </row>
    <row r="376" spans="4:25" x14ac:dyDescent="0.2">
      <c r="D376" t="s">
        <v>80</v>
      </c>
      <c r="E376" t="s">
        <v>113</v>
      </c>
      <c r="F376">
        <v>0</v>
      </c>
      <c r="G376">
        <v>0</v>
      </c>
      <c r="H376">
        <f>(F376/100*MIN(G376,100)/100)</f>
        <v>0</v>
      </c>
      <c r="K376">
        <f t="shared" ref="K376:K377" si="211">$AJ$29</f>
        <v>2.5</v>
      </c>
      <c r="M376">
        <f t="shared" ref="M376:M377" si="212">$AJ$57</f>
        <v>0.75</v>
      </c>
      <c r="N376">
        <f t="shared" ref="N376:N377" si="213">(0.795 * M376) - 0.0014</f>
        <v>0.5948500000000001</v>
      </c>
      <c r="P376">
        <f t="shared" ref="P376:P377" si="214">$AJ$84</f>
        <v>14</v>
      </c>
      <c r="Q376">
        <f t="shared" ref="Q376:Q377" si="215">(104.7 * N376 + 0.307 * P376- 15) * POWER(P376, 0.75) * 10^-3</f>
        <v>0.3733079325984448</v>
      </c>
      <c r="R376">
        <f t="shared" ref="R376:R377" si="216">1-EXP(-2*POWER(K376,2))</f>
        <v>0.99999627334682795</v>
      </c>
      <c r="S376">
        <v>1</v>
      </c>
      <c r="T376">
        <f t="shared" ref="T376:T377" si="217">Q376 * R376 * S376</f>
        <v>0.37330654140925362</v>
      </c>
      <c r="U376">
        <v>25</v>
      </c>
      <c r="V376">
        <f>(T376 * 0.0188) + 0.00158</f>
        <v>8.5981629784939693E-3</v>
      </c>
      <c r="W376" s="2">
        <v>20</v>
      </c>
      <c r="X376" s="2">
        <v>20</v>
      </c>
      <c r="Y376">
        <f>U376*V376*X376</f>
        <v>4.2990814892469844</v>
      </c>
    </row>
    <row r="377" spans="4:25" x14ac:dyDescent="0.2">
      <c r="D377" t="s">
        <v>80</v>
      </c>
      <c r="E377" t="s">
        <v>114</v>
      </c>
      <c r="F377">
        <v>0</v>
      </c>
      <c r="G377">
        <v>0</v>
      </c>
      <c r="H377">
        <f>(F377/100*MIN(G377,100)/100)</f>
        <v>0</v>
      </c>
      <c r="K377">
        <f t="shared" si="211"/>
        <v>2.5</v>
      </c>
      <c r="M377">
        <f t="shared" si="212"/>
        <v>0.75</v>
      </c>
      <c r="N377">
        <f t="shared" si="213"/>
        <v>0.5948500000000001</v>
      </c>
      <c r="P377">
        <f t="shared" si="214"/>
        <v>14</v>
      </c>
      <c r="Q377">
        <f t="shared" si="215"/>
        <v>0.3733079325984448</v>
      </c>
      <c r="R377">
        <f t="shared" si="216"/>
        <v>0.99999627334682795</v>
      </c>
      <c r="S377">
        <v>1</v>
      </c>
      <c r="T377">
        <f t="shared" si="217"/>
        <v>0.37330654140925362</v>
      </c>
      <c r="U377">
        <v>34</v>
      </c>
      <c r="V377">
        <f>(T377 * 0.0188) + 0.00158</f>
        <v>8.5981629784939693E-3</v>
      </c>
      <c r="W377" s="2">
        <v>20</v>
      </c>
      <c r="X377" s="2">
        <v>20</v>
      </c>
      <c r="Y377">
        <f>U377*V377*X377</f>
        <v>5.8467508253758993</v>
      </c>
    </row>
    <row r="378" spans="4:25" x14ac:dyDescent="0.2">
      <c r="D378" t="s">
        <v>81</v>
      </c>
      <c r="E378" t="s">
        <v>115</v>
      </c>
      <c r="F378">
        <v>0</v>
      </c>
      <c r="G378">
        <v>0</v>
      </c>
      <c r="H378">
        <f>(F378/100*MIN(G378,100)/100)</f>
        <v>0</v>
      </c>
      <c r="K378">
        <f>$AJ$30</f>
        <v>2.5</v>
      </c>
      <c r="M378">
        <f>$AJ$58</f>
        <v>0.55000000000000004</v>
      </c>
      <c r="N378">
        <f>(0.795 * M378) - 0.0014</f>
        <v>0.43585000000000007</v>
      </c>
      <c r="P378">
        <f>$AJ$85</f>
        <v>24</v>
      </c>
      <c r="Q378">
        <f>(104.7 * N378 + 0.307 * P378- 15) * POWER(P378, 0.75) * 10^-3</f>
        <v>0.41205872426603418</v>
      </c>
      <c r="R378">
        <f>1-EXP(-2*POWER(K378,2))</f>
        <v>0.99999627334682795</v>
      </c>
      <c r="S378">
        <v>1</v>
      </c>
      <c r="T378">
        <f>Q378 * R378 * S378</f>
        <v>0.41205718866608232</v>
      </c>
      <c r="U378">
        <v>45</v>
      </c>
      <c r="V378">
        <f>(T378 * 0.0188) + 0.00158</f>
        <v>9.3266751469223488E-3</v>
      </c>
      <c r="X378">
        <v>31</v>
      </c>
      <c r="Y378">
        <f>U378*V378*X378</f>
        <v>13.010711829956676</v>
      </c>
    </row>
  </sheetData>
  <pageMargins left="0.7" right="0.7" top="0.75" bottom="0.75" header="0.3" footer="0.3"/>
  <ignoredErrors>
    <ignoredError sqref="X2:Y10 I11 N11 V11 M2:N10 K2:K10 F2:I10 P2:V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2026-05-05T03:40:04Z</dcterms:modified>
</cp:coreProperties>
</file>