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14A3B490-CB30-6141-A934-B7F7116D901B}" xr6:coauthVersionLast="47" xr6:coauthVersionMax="47" xr10:uidLastSave="{00000000-0000-0000-0000-000000000000}"/>
  <bookViews>
    <workbookView xWindow="20" yWindow="600" windowWidth="28800" windowHeight="15940" xr2:uid="{5678E890-3691-CF46-80E7-00FB1F103661}"/>
  </bookViews>
  <sheets>
    <sheet name="6.1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1" l="1"/>
  <c r="N6" i="1"/>
  <c r="N7" i="1"/>
  <c r="N8" i="1"/>
  <c r="O8" i="1" s="1"/>
  <c r="N9" i="1"/>
  <c r="O9" i="1" s="1"/>
  <c r="N10" i="1"/>
  <c r="O10" i="1" s="1"/>
  <c r="N11" i="1"/>
  <c r="O11" i="1" s="1"/>
  <c r="N12" i="1"/>
  <c r="O12" i="1" s="1"/>
  <c r="N13" i="1"/>
  <c r="O13" i="1" s="1"/>
  <c r="N14" i="1"/>
  <c r="N15" i="1"/>
  <c r="N16" i="1"/>
  <c r="N17" i="1"/>
  <c r="N18" i="1"/>
  <c r="O18" i="1" s="1"/>
  <c r="N19" i="1"/>
  <c r="O19" i="1" s="1"/>
  <c r="N20" i="1"/>
  <c r="O20" i="1" s="1"/>
  <c r="N5" i="1"/>
  <c r="O5" i="1" s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I6" i="1"/>
  <c r="J6" i="1"/>
  <c r="K6" i="1"/>
  <c r="L6" i="1"/>
  <c r="M6" i="1" s="1"/>
  <c r="O6" i="1"/>
  <c r="I7" i="1"/>
  <c r="J7" i="1"/>
  <c r="K7" i="1"/>
  <c r="L7" i="1"/>
  <c r="M7" i="1" s="1"/>
  <c r="O7" i="1"/>
  <c r="I8" i="1"/>
  <c r="J8" i="1"/>
  <c r="K8" i="1"/>
  <c r="L8" i="1"/>
  <c r="M8" i="1" s="1"/>
  <c r="I9" i="1"/>
  <c r="J9" i="1"/>
  <c r="K9" i="1"/>
  <c r="L9" i="1"/>
  <c r="M9" i="1" s="1"/>
  <c r="I10" i="1"/>
  <c r="J10" i="1"/>
  <c r="K10" i="1"/>
  <c r="L10" i="1"/>
  <c r="M10" i="1" s="1"/>
  <c r="I11" i="1"/>
  <c r="J11" i="1"/>
  <c r="K11" i="1"/>
  <c r="L11" i="1"/>
  <c r="M11" i="1" s="1"/>
  <c r="I12" i="1"/>
  <c r="J12" i="1"/>
  <c r="K12" i="1"/>
  <c r="L12" i="1"/>
  <c r="M12" i="1" s="1"/>
  <c r="I13" i="1"/>
  <c r="J13" i="1"/>
  <c r="K13" i="1"/>
  <c r="L13" i="1"/>
  <c r="M13" i="1" s="1"/>
  <c r="I14" i="1"/>
  <c r="J14" i="1"/>
  <c r="K14" i="1"/>
  <c r="L14" i="1"/>
  <c r="M14" i="1"/>
  <c r="O14" i="1"/>
  <c r="I17" i="1"/>
  <c r="J17" i="1"/>
  <c r="K17" i="1"/>
  <c r="L17" i="1"/>
  <c r="M17" i="1" s="1"/>
  <c r="O17" i="1"/>
  <c r="I18" i="1"/>
  <c r="J18" i="1"/>
  <c r="K18" i="1"/>
  <c r="L18" i="1"/>
  <c r="M18" i="1"/>
  <c r="I19" i="1"/>
  <c r="J19" i="1"/>
  <c r="K19" i="1"/>
  <c r="L19" i="1"/>
  <c r="M19" i="1" s="1"/>
  <c r="I20" i="1"/>
  <c r="J20" i="1"/>
  <c r="K20" i="1"/>
  <c r="L20" i="1"/>
  <c r="M20" i="1" s="1"/>
  <c r="L5" i="1"/>
  <c r="M5" i="1" s="1"/>
  <c r="K5" i="1"/>
  <c r="J5" i="1"/>
  <c r="I5" i="1"/>
  <c r="Q18" i="1"/>
  <c r="Q19" i="1"/>
  <c r="Q20" i="1"/>
  <c r="Q17" i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12" i="1" a="1"/>
  <c r="G12" i="1" s="1"/>
  <c r="G13" i="1" a="1"/>
  <c r="G13" i="1" s="1"/>
  <c r="G14" i="1" a="1"/>
  <c r="G14" i="1" s="1"/>
  <c r="G5" i="1" a="1"/>
  <c r="G5" i="1" s="1"/>
  <c r="Q6" i="1"/>
  <c r="Q7" i="1"/>
  <c r="Q8" i="1"/>
  <c r="Q9" i="1"/>
  <c r="Q10" i="1"/>
  <c r="Q11" i="1"/>
  <c r="Q12" i="1"/>
  <c r="Q13" i="1"/>
  <c r="Q14" i="1"/>
  <c r="Q5" i="1"/>
  <c r="P13" i="1" l="1"/>
  <c r="P14" i="1"/>
  <c r="P18" i="1"/>
  <c r="P12" i="1"/>
  <c r="P11" i="1"/>
  <c r="P10" i="1"/>
  <c r="P5" i="1"/>
  <c r="P20" i="1"/>
  <c r="P19" i="1"/>
  <c r="P17" i="1"/>
  <c r="P8" i="1"/>
  <c r="P6" i="1"/>
  <c r="P7" i="1"/>
  <c r="P9" i="1"/>
  <c r="U10" i="1" l="1"/>
  <c r="R17" i="1" l="1"/>
  <c r="R20" i="1"/>
  <c r="R19" i="1"/>
  <c r="R18" i="1"/>
  <c r="R12" i="1"/>
  <c r="R9" i="1"/>
  <c r="R10" i="1"/>
  <c r="R13" i="1"/>
  <c r="R6" i="1"/>
  <c r="R7" i="1"/>
  <c r="R8" i="1"/>
  <c r="R11" i="1"/>
  <c r="R14" i="1"/>
  <c r="R5" i="1"/>
  <c r="P25" i="1"/>
  <c r="P26" i="1"/>
  <c r="P27" i="1"/>
  <c r="P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<sst xmlns="http://schemas.openxmlformats.org/spreadsheetml/2006/main" count="148" uniqueCount="73">
  <si>
    <t>Method 1</t>
  </si>
  <si>
    <t>Constants</t>
  </si>
  <si>
    <t>Cn2o</t>
  </si>
  <si>
    <t>Cotton</t>
  </si>
  <si>
    <t>E</t>
  </si>
  <si>
    <r>
      <t>𝐸 = ∑ (𝑀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𝑁𝑖 </t>
    </r>
    <r>
      <rPr>
        <sz val="11"/>
        <color rgb="FF000000"/>
        <rFont val="Helvetica"/>
        <family val="2"/>
      </rPr>
      <t>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</si>
  <si>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Efni</t>
  </si>
  <si>
    <t>Table A.2.1.4</t>
  </si>
  <si>
    <t>Wet climate zone</t>
  </si>
  <si>
    <t>Dry climate zones</t>
  </si>
  <si>
    <t>wet</t>
  </si>
  <si>
    <t>dry</t>
  </si>
  <si>
    <t>Climate zone</t>
  </si>
  <si>
    <t>Mc</t>
  </si>
  <si>
    <r>
      <t>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 xml:space="preserve">=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 xml:space="preserve">× (1 − 𝐹 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− 𝐹𝐹𝑂𝐷</t>
    </r>
    <r>
      <rPr>
        <sz val="8"/>
        <color rgb="FF000000"/>
        <rFont val="Helvetica"/>
        <family val="2"/>
      </rPr>
      <t>𝑐</t>
    </r>
    <r>
      <rPr>
        <sz val="11"/>
        <color rgb="FF000000"/>
        <rFont val="Helvetica"/>
        <family val="2"/>
      </rPr>
      <t>) 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𝐴𝐺𝑐</t>
    </r>
    <r>
      <rPr>
        <sz val="11"/>
        <color rgb="FF000000"/>
        <rFont val="Helvetica"/>
        <family val="2"/>
      </rPr>
      <t xml:space="preserve">) + (𝑃 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𝐴𝐺𝑐 </t>
    </r>
    <r>
      <rPr>
        <sz val="11"/>
        <color rgb="FF000000"/>
        <rFont val="Helvetica"/>
        <family val="2"/>
      </rPr>
      <t>× 𝑅</t>
    </r>
    <r>
      <rPr>
        <sz val="8"/>
        <color rgb="FF000000"/>
        <rFont val="Helvetica"/>
        <family val="2"/>
      </rPr>
      <t xml:space="preserve">𝐵𝐺𝑐 </t>
    </r>
    <r>
      <rPr>
        <sz val="11"/>
        <color rgb="FF000000"/>
        <rFont val="Helvetica"/>
        <family val="2"/>
      </rPr>
      <t>× 𝐷𝑀</t>
    </r>
    <r>
      <rPr>
        <sz val="8"/>
        <color rgb="FF000000"/>
        <rFont val="Helvetica"/>
        <family val="2"/>
      </rPr>
      <t xml:space="preserve">𝑐 </t>
    </r>
    <r>
      <rPr>
        <sz val="11"/>
        <color rgb="FF000000"/>
        <rFont val="Helvetica"/>
        <family val="2"/>
      </rPr>
      <t>× 𝑁𝐶</t>
    </r>
    <r>
      <rPr>
        <sz val="8"/>
        <color rgb="FF000000"/>
        <rFont val="Helvetica"/>
        <family val="2"/>
      </rPr>
      <t>𝐵𝐺𝑐</t>
    </r>
    <r>
      <rPr>
        <sz val="11"/>
        <color rgb="FF000000"/>
        <rFont val="Helvetica"/>
        <family val="2"/>
      </rPr>
      <t>)</t>
    </r>
  </si>
  <si>
    <t>Table A.2.1.1</t>
  </si>
  <si>
    <t>n/a </t>
  </si>
  <si>
    <t>RAGC</t>
  </si>
  <si>
    <t>RBGC</t>
  </si>
  <si>
    <t>DMc</t>
  </si>
  <si>
    <t>CCc</t>
  </si>
  <si>
    <t>Ncagc</t>
  </si>
  <si>
    <t>NCbgc</t>
  </si>
  <si>
    <t>Sc</t>
  </si>
  <si>
    <t>Zc</t>
  </si>
  <si>
    <t>Crop type</t>
  </si>
  <si>
    <t>Fc</t>
  </si>
  <si>
    <t>Table A.2.1.2</t>
  </si>
  <si>
    <t>State</t>
  </si>
  <si>
    <t>FFODc</t>
  </si>
  <si>
    <t>All states</t>
  </si>
  <si>
    <t>Rice</t>
  </si>
  <si>
    <t>Forage crops</t>
  </si>
  <si>
    <t>Tubers and roots</t>
  </si>
  <si>
    <t>NSW</t>
  </si>
  <si>
    <t>QLD</t>
  </si>
  <si>
    <t>WA</t>
  </si>
  <si>
    <t>VIC</t>
  </si>
  <si>
    <t>All other crop types</t>
  </si>
  <si>
    <t>Sugar Cane</t>
  </si>
  <si>
    <t>NCbcg</t>
  </si>
  <si>
    <t>Pc</t>
  </si>
  <si>
    <t>Area sown hectares</t>
  </si>
  <si>
    <t>Sugar cane</t>
  </si>
  <si>
    <t>Wheat</t>
  </si>
  <si>
    <t>Barley</t>
  </si>
  <si>
    <t>Maize</t>
  </si>
  <si>
    <t>Oats</t>
  </si>
  <si>
    <t>Sorghum</t>
  </si>
  <si>
    <t>Triticale</t>
  </si>
  <si>
    <t>Other cereals</t>
  </si>
  <si>
    <t>Pulses</t>
  </si>
  <si>
    <t>Peanuts</t>
  </si>
  <si>
    <t>Hops</t>
  </si>
  <si>
    <t>Oilseeds</t>
  </si>
  <si>
    <t>Fraction crop burnt</t>
  </si>
  <si>
    <t>n/a</t>
  </si>
  <si>
    <t xml:space="preserve">    n/a</t>
  </si>
  <si>
    <t>SA</t>
  </si>
  <si>
    <t>Other perennial crops</t>
  </si>
  <si>
    <t>ACT</t>
  </si>
  <si>
    <t>TAS</t>
  </si>
  <si>
    <t>NT</t>
  </si>
  <si>
    <t>Tubers and Roots</t>
  </si>
  <si>
    <t>Forage Crops</t>
  </si>
  <si>
    <t>Fraction of crop removed</t>
  </si>
  <si>
    <t>Residue crop ratio</t>
  </si>
  <si>
    <t>Dry matter content</t>
  </si>
  <si>
    <t>Above ground N</t>
  </si>
  <si>
    <t>Below above ratio</t>
  </si>
  <si>
    <t>Other Annual Crops</t>
  </si>
  <si>
    <t>Custom values</t>
  </si>
  <si>
    <t>Average yield per hectare in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</si>
</sst>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7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AB58"/>
  <sheetViews>
    <sheetView tabSelected="1" topLeftCell="B1" workbookViewId="0">
      <selection activeCell="R20" sqref="R20"/>
    </sheetView>
  </sheetViews>
  <sheetFormatPr baseColWidth="10" defaultRowHeight="16"/>
  <cols>
    <col min="1" max="1" width="11.83203125" style="3" bestFit="1" customWidth="1"/>
    <col min="2" max="2" width="17.33203125" customWidth="1"/>
    <col min="3" max="3" width="5.83203125" bestFit="1" customWidth="1"/>
    <col min="4" max="4" width="17" customWidth="1"/>
    <col min="5" max="5" width="25.5" bestFit="1" customWidth="1"/>
    <col min="6" max="6" width="10.1640625" customWidth="1"/>
    <col min="7" max="7" width="13.33203125" customWidth="1"/>
    <col min="8" max="8" width="13.6640625" bestFit="1" customWidth="1"/>
    <col min="9" max="10" width="11" bestFit="1" customWidth="1"/>
    <col min="11" max="11" width="10.33203125" bestFit="1" customWidth="1"/>
    <col min="12" max="12" width="8.6640625" bestFit="1" customWidth="1"/>
    <col min="13" max="13" width="9.83203125" customWidth="1"/>
    <col min="14" max="14" width="8.6640625" bestFit="1" customWidth="1"/>
    <col min="15" max="15" width="11" customWidth="1"/>
    <col min="16" max="16" width="12.83203125" customWidth="1"/>
    <col min="18" max="18" width="12.1640625" bestFit="1" customWidth="1"/>
    <col min="20" max="20" width="36" customWidth="1"/>
    <col min="24" max="24" width="6.33203125" style="8" bestFit="1" customWidth="1"/>
  </cols>
  <sheetData>
    <row r="1" spans="1:22" ht="17">
      <c r="A1" s="3" t="s">
        <v>0</v>
      </c>
      <c r="R1" s="1" t="s">
        <v>5</v>
      </c>
    </row>
    <row r="2" spans="1:22">
      <c r="P2" s="1"/>
      <c r="R2" s="1"/>
    </row>
    <row r="3" spans="1:22" ht="34">
      <c r="F3" s="8" t="s">
        <v>55</v>
      </c>
      <c r="G3" s="8" t="s">
        <v>65</v>
      </c>
      <c r="H3" s="8"/>
      <c r="I3" s="8" t="s">
        <v>66</v>
      </c>
      <c r="J3" s="8" t="s">
        <v>69</v>
      </c>
      <c r="K3" s="8" t="s">
        <v>67</v>
      </c>
      <c r="L3" s="8" t="s">
        <v>68</v>
      </c>
      <c r="M3" s="8"/>
      <c r="N3" s="8"/>
      <c r="O3" s="8"/>
      <c r="P3" s="1" t="s">
        <v>14</v>
      </c>
      <c r="R3" s="1"/>
    </row>
    <row r="4" spans="1:22" ht="17">
      <c r="A4" s="4" t="s">
        <v>12</v>
      </c>
      <c r="B4" s="5" t="s">
        <v>25</v>
      </c>
      <c r="C4" s="5" t="s">
        <v>28</v>
      </c>
      <c r="D4" s="5" t="s">
        <v>42</v>
      </c>
      <c r="E4" s="5" t="s">
        <v>72</v>
      </c>
      <c r="F4" s="5" t="s">
        <v>26</v>
      </c>
      <c r="G4" t="s">
        <v>29</v>
      </c>
      <c r="H4" t="s">
        <v>41</v>
      </c>
      <c r="I4" t="s">
        <v>17</v>
      </c>
      <c r="J4" t="s">
        <v>18</v>
      </c>
      <c r="K4" t="s">
        <v>19</v>
      </c>
      <c r="L4" t="s">
        <v>21</v>
      </c>
      <c r="N4" t="s">
        <v>40</v>
      </c>
      <c r="P4" t="s">
        <v>13</v>
      </c>
      <c r="Q4" t="s">
        <v>6</v>
      </c>
      <c r="R4" s="6" t="s">
        <v>4</v>
      </c>
      <c r="T4" s="7" t="s">
        <v>1</v>
      </c>
    </row>
    <row r="5" spans="1:22">
      <c r="A5" s="2" t="s">
        <v>10</v>
      </c>
      <c r="B5" t="s">
        <v>39</v>
      </c>
      <c r="C5" t="s">
        <v>34</v>
      </c>
      <c r="D5">
        <v>50</v>
      </c>
      <c r="E5">
        <v>2</v>
      </c>
      <c r="F5" s="14">
        <v>0.2</v>
      </c>
      <c r="G5" s="14" cm="1">
        <f t="array" ref="G5">_xlfn.IFS(ISBLANK(A5), "",B5="Sugar Cane", VLOOKUP(C5, $U$48:$V$50, 2, FALSE),_xlfn.IFNA(MATCH(B5, $T$43:$T$47, 0), FALSE), VLOOKUP(B5, $T$43:$V$47, 3, FALSE), TRUE, VLOOKUP(C5, $U$51:$V$53, 2, FALSE))</f>
        <v>0</v>
      </c>
      <c r="H5" s="14">
        <f>IF(ISBLANK(A5), "", D5*(E5 * 1000))</f>
        <v>100000</v>
      </c>
      <c r="I5" s="14">
        <f t="shared" ref="I5:I14" si="0">IF(ISBLANK($A5), "", VLOOKUP($B5, $T$22:$AB$39, 2, FALSE))</f>
        <v>0.25</v>
      </c>
      <c r="J5" s="14">
        <f t="shared" ref="J5:J14" si="1">IF(ISBLANK($A5), "", VLOOKUP($B5, $T$22:$AB$39, 3, FALSE))</f>
        <v>0.45</v>
      </c>
      <c r="K5" s="14">
        <f t="shared" ref="K5:K14" si="2">IF(ISBLANK($A5), "", VLOOKUP($B5, $T$22:$AB$39, 4, FALSE))</f>
        <v>0.2</v>
      </c>
      <c r="L5" s="14">
        <f t="shared" ref="L5:L14" si="3">IF(ISBLANK($A5), "", VLOOKUP($B5, $T$22:$AB$39, 6, FALSE))</f>
        <v>5.0000000000000001E-3</v>
      </c>
      <c r="M5" s="14">
        <f>IF(L5="n/a",0,L5)</f>
        <v>5.0000000000000001E-3</v>
      </c>
      <c r="N5" s="14">
        <f>IF(ISBLANK($A5), "", VLOOKUP($B5, $T$22:$AB$39, 7, FALSE))</f>
        <v>7.0000000000000001E-3</v>
      </c>
      <c r="O5" s="14">
        <f>IF(N5="n/a",0,N5)</f>
        <v>7.0000000000000001E-3</v>
      </c>
      <c r="P5">
        <f t="shared" ref="P5:P14" si="4">IF(ISBLANK(A5),"", (H5*I5*(1 - F5 - G5) * K5*M5)+(H5*I5*J5*K5*O5))</f>
        <v>35.75</v>
      </c>
      <c r="Q5">
        <f t="shared" ref="Q5:Q14" si="5">IF(ISBLANK(A5),"",VLOOKUP(A5,$T$14:$U$30,2,FALSE))</f>
        <v>6.0000000000000001E-3</v>
      </c>
      <c r="R5">
        <f t="shared" ref="R5:R14" si="6">IF(ISBLANK(A5), "", P5*Q5*$U$10/1000)</f>
        <v>3.370714285714286E-4</v>
      </c>
    </row>
    <row r="6" spans="1:22">
      <c r="A6" s="2" t="s">
        <v>11</v>
      </c>
      <c r="B6" t="s">
        <v>39</v>
      </c>
      <c r="C6" t="s">
        <v>34</v>
      </c>
      <c r="D6">
        <v>50</v>
      </c>
      <c r="E6">
        <v>2</v>
      </c>
      <c r="F6">
        <v>0.2</v>
      </c>
      <c r="G6" cm="1">
        <f t="array" ref="G6">_xlfn.IFS(ISBLANK(A6), "",B6="Sugar Cane", VLOOKUP(C6, $U$48:$V$50, 2, FALSE),_xlfn.IFNA(MATCH(B6, $T$43:$T$47, 0), FALSE), VLOOKUP(B6, $T$43:$V$47, 3, FALSE), TRUE, VLOOKUP(C6, $U$51:$V$53, 2, FALSE))</f>
        <v>0</v>
      </c>
      <c r="H6" s="14">
        <f t="shared" ref="H6:H20" si="7">IF(ISBLANK(A6), "", D6*(E6 * 1000))</f>
        <v>100000</v>
      </c>
      <c r="I6" s="14">
        <f t="shared" si="0"/>
        <v>0.25</v>
      </c>
      <c r="J6" s="14">
        <f t="shared" si="1"/>
        <v>0.45</v>
      </c>
      <c r="K6" s="14">
        <f t="shared" si="2"/>
        <v>0.2</v>
      </c>
      <c r="L6" s="14">
        <f t="shared" si="3"/>
        <v>5.0000000000000001E-3</v>
      </c>
      <c r="M6" s="14">
        <f t="shared" ref="M6:M20" si="8">IF(L6="n/a",0,L6)</f>
        <v>5.0000000000000001E-3</v>
      </c>
      <c r="N6" s="14">
        <f t="shared" ref="N6:N20" si="9">IF(ISBLANK($A6), "", VLOOKUP($B6, $T$22:$AB$39, 7, FALSE))</f>
        <v>7.0000000000000001E-3</v>
      </c>
      <c r="O6">
        <f t="shared" ref="O6:O20" si="10">IF(N6="n/a",0,N6)</f>
        <v>7.0000000000000001E-3</v>
      </c>
      <c r="P6">
        <f t="shared" si="4"/>
        <v>35.75</v>
      </c>
      <c r="Q6">
        <f t="shared" si="5"/>
        <v>5.0000000000000001E-3</v>
      </c>
      <c r="R6">
        <f t="shared" si="6"/>
        <v>2.8089285714285711E-4</v>
      </c>
    </row>
    <row r="7" spans="1:22">
      <c r="A7" s="2" t="s">
        <v>10</v>
      </c>
      <c r="B7" s="2" t="s">
        <v>31</v>
      </c>
      <c r="C7" s="2" t="s">
        <v>34</v>
      </c>
      <c r="D7">
        <v>50</v>
      </c>
      <c r="E7">
        <v>2</v>
      </c>
      <c r="F7">
        <v>0.2</v>
      </c>
      <c r="G7" cm="1">
        <f t="array" ref="G7">_xlfn.IFS(ISBLANK(A7), "",B7="Sugar Cane", VLOOKUP(C7, $U$48:$V$50, 2, FALSE),_xlfn.IFNA(MATCH(B7, $T$43:$T$47, 0), FALSE), VLOOKUP(B7, $T$43:$V$47, 3, FALSE), TRUE, VLOOKUP(C7, $U$51:$V$53, 2, FALSE))</f>
        <v>0.06</v>
      </c>
      <c r="H7" s="14">
        <f t="shared" si="7"/>
        <v>100000</v>
      </c>
      <c r="I7" s="14">
        <f t="shared" si="0"/>
        <v>1.31</v>
      </c>
      <c r="J7" s="14">
        <f t="shared" si="1"/>
        <v>0.16</v>
      </c>
      <c r="K7" s="14">
        <f t="shared" si="2"/>
        <v>0.8</v>
      </c>
      <c r="L7" s="14">
        <f t="shared" si="3"/>
        <v>7.0000000000000001E-3</v>
      </c>
      <c r="M7" s="14">
        <f t="shared" si="8"/>
        <v>7.0000000000000001E-3</v>
      </c>
      <c r="N7" s="14">
        <f t="shared" si="9"/>
        <v>0.01</v>
      </c>
      <c r="O7">
        <f t="shared" si="10"/>
        <v>0.01</v>
      </c>
      <c r="P7">
        <f t="shared" si="4"/>
        <v>710.5440000000001</v>
      </c>
      <c r="Q7">
        <f t="shared" si="5"/>
        <v>6.0000000000000001E-3</v>
      </c>
      <c r="R7">
        <f t="shared" si="6"/>
        <v>6.6994148571428583E-3</v>
      </c>
    </row>
    <row r="8" spans="1:22">
      <c r="A8" s="2" t="s">
        <v>10</v>
      </c>
      <c r="B8" s="2" t="s">
        <v>31</v>
      </c>
      <c r="C8" s="2" t="s">
        <v>37</v>
      </c>
      <c r="D8">
        <v>50</v>
      </c>
      <c r="E8">
        <v>2</v>
      </c>
      <c r="F8">
        <v>0.2</v>
      </c>
      <c r="G8" cm="1">
        <f t="array" ref="G8">_xlfn.IFS(ISBLANK(A8), "",B8="Sugar Cane", VLOOKUP(C8, $U$48:$V$50, 2, FALSE),_xlfn.IFNA(MATCH(B8, $T$43:$T$47, 0), FALSE), VLOOKUP(B8, $T$43:$V$47, 3, FALSE), TRUE, VLOOKUP(C8, $U$51:$V$53, 2, FALSE))</f>
        <v>0.06</v>
      </c>
      <c r="H8" s="14">
        <f t="shared" si="7"/>
        <v>100000</v>
      </c>
      <c r="I8" s="14">
        <f t="shared" si="0"/>
        <v>1.31</v>
      </c>
      <c r="J8" s="14">
        <f t="shared" si="1"/>
        <v>0.16</v>
      </c>
      <c r="K8" s="14">
        <f t="shared" si="2"/>
        <v>0.8</v>
      </c>
      <c r="L8" s="14">
        <f t="shared" si="3"/>
        <v>7.0000000000000001E-3</v>
      </c>
      <c r="M8" s="14">
        <f t="shared" si="8"/>
        <v>7.0000000000000001E-3</v>
      </c>
      <c r="N8" s="14">
        <f t="shared" si="9"/>
        <v>0.01</v>
      </c>
      <c r="O8">
        <f t="shared" si="10"/>
        <v>0.01</v>
      </c>
      <c r="P8">
        <f t="shared" si="4"/>
        <v>710.5440000000001</v>
      </c>
      <c r="Q8">
        <f t="shared" si="5"/>
        <v>6.0000000000000001E-3</v>
      </c>
      <c r="R8">
        <f t="shared" si="6"/>
        <v>6.6994148571428583E-3</v>
      </c>
      <c r="T8" s="2"/>
      <c r="U8" s="2"/>
    </row>
    <row r="9" spans="1:22">
      <c r="A9" s="2" t="s">
        <v>10</v>
      </c>
      <c r="B9" s="2" t="s">
        <v>63</v>
      </c>
      <c r="C9" s="2" t="s">
        <v>35</v>
      </c>
      <c r="D9">
        <v>50</v>
      </c>
      <c r="E9">
        <v>2</v>
      </c>
      <c r="F9">
        <v>0.2</v>
      </c>
      <c r="G9" cm="1">
        <f t="array" ref="G9">_xlfn.IFS(ISBLANK(A9), "",B9="Sugar Cane", VLOOKUP(C9, $U$48:$V$50, 2, FALSE),_xlfn.IFNA(MATCH(B9, $T$43:$T$47, 0), FALSE), VLOOKUP(B9, $T$43:$V$47, 3, FALSE), TRUE, VLOOKUP(C9, $U$51:$V$53, 2, FALSE))</f>
        <v>1</v>
      </c>
      <c r="H9" s="14">
        <f t="shared" si="7"/>
        <v>100000</v>
      </c>
      <c r="I9" s="14">
        <f t="shared" si="0"/>
        <v>0.34</v>
      </c>
      <c r="J9" s="14">
        <f t="shared" si="1"/>
        <v>0.43</v>
      </c>
      <c r="K9" s="14">
        <f t="shared" si="2"/>
        <v>0.25</v>
      </c>
      <c r="L9" s="14">
        <f t="shared" si="3"/>
        <v>0.02</v>
      </c>
      <c r="M9" s="14">
        <f t="shared" si="8"/>
        <v>0.02</v>
      </c>
      <c r="N9" s="14">
        <f t="shared" si="9"/>
        <v>0.01</v>
      </c>
      <c r="O9">
        <f t="shared" si="10"/>
        <v>0.01</v>
      </c>
      <c r="P9">
        <f t="shared" si="4"/>
        <v>2.5500000000000114</v>
      </c>
      <c r="Q9">
        <f t="shared" si="5"/>
        <v>6.0000000000000001E-3</v>
      </c>
      <c r="R9">
        <f t="shared" si="6"/>
        <v>2.4042857142857252E-5</v>
      </c>
      <c r="T9" s="2"/>
      <c r="U9" s="2"/>
    </row>
    <row r="10" spans="1:22">
      <c r="A10" s="2" t="s">
        <v>10</v>
      </c>
      <c r="B10" s="2" t="s">
        <v>63</v>
      </c>
      <c r="C10" s="2" t="s">
        <v>36</v>
      </c>
      <c r="D10">
        <v>50</v>
      </c>
      <c r="E10">
        <v>2</v>
      </c>
      <c r="F10">
        <v>0.3</v>
      </c>
      <c r="G10" cm="1">
        <f t="array" ref="G10">_xlfn.IFS(ISBLANK(A10), "",B10="Sugar Cane", VLOOKUP(C10, $U$48:$V$50, 2, FALSE),_xlfn.IFNA(MATCH(B10, $T$43:$T$47, 0), FALSE), VLOOKUP(B10, $T$43:$V$47, 3, FALSE), TRUE, VLOOKUP(C10, $U$51:$V$53, 2, FALSE))</f>
        <v>1</v>
      </c>
      <c r="H10" s="14">
        <f t="shared" si="7"/>
        <v>100000</v>
      </c>
      <c r="I10" s="14">
        <f t="shared" si="0"/>
        <v>0.34</v>
      </c>
      <c r="J10" s="14">
        <f t="shared" si="1"/>
        <v>0.43</v>
      </c>
      <c r="K10" s="14">
        <f t="shared" si="2"/>
        <v>0.25</v>
      </c>
      <c r="L10" s="14">
        <f t="shared" si="3"/>
        <v>0.02</v>
      </c>
      <c r="M10" s="14">
        <f t="shared" si="8"/>
        <v>0.02</v>
      </c>
      <c r="N10" s="14">
        <f t="shared" si="9"/>
        <v>0.01</v>
      </c>
      <c r="O10">
        <f t="shared" si="10"/>
        <v>0.01</v>
      </c>
      <c r="P10">
        <f t="shared" si="4"/>
        <v>-14.450000000000003</v>
      </c>
      <c r="Q10">
        <f t="shared" si="5"/>
        <v>6.0000000000000001E-3</v>
      </c>
      <c r="R10">
        <f t="shared" si="6"/>
        <v>-1.3624285714285717E-4</v>
      </c>
      <c r="T10" t="s">
        <v>2</v>
      </c>
      <c r="U10">
        <f>44/28</f>
        <v>1.5714285714285714</v>
      </c>
    </row>
    <row r="11" spans="1:22">
      <c r="A11" s="2" t="s">
        <v>10</v>
      </c>
      <c r="B11" s="2" t="s">
        <v>3</v>
      </c>
      <c r="C11" s="2" t="s">
        <v>58</v>
      </c>
      <c r="D11">
        <v>50</v>
      </c>
      <c r="E11">
        <v>2</v>
      </c>
      <c r="F11">
        <v>0.3</v>
      </c>
      <c r="G11" cm="1">
        <f t="array" ref="G11">_xlfn.IFS(ISBLANK(A11), "",B11="Sugar Cane", VLOOKUP(C11, $U$48:$V$50, 2, FALSE),_xlfn.IFNA(MATCH(B11, $T$43:$T$47, 0), FALSE), VLOOKUP(B11, $T$43:$V$47, 3, FALSE), TRUE, VLOOKUP(C11, $U$51:$V$53, 2, FALSE))</f>
        <v>0</v>
      </c>
      <c r="H11" s="14">
        <f t="shared" si="7"/>
        <v>100000</v>
      </c>
      <c r="I11" s="14">
        <f t="shared" si="0"/>
        <v>1.9</v>
      </c>
      <c r="J11" s="14">
        <f t="shared" si="1"/>
        <v>0.3</v>
      </c>
      <c r="K11" s="14">
        <f t="shared" si="2"/>
        <v>0.9</v>
      </c>
      <c r="L11" s="14">
        <f t="shared" si="3"/>
        <v>0.01</v>
      </c>
      <c r="M11" s="14">
        <f t="shared" si="8"/>
        <v>0.01</v>
      </c>
      <c r="N11" s="14">
        <f t="shared" si="9"/>
        <v>0.01</v>
      </c>
      <c r="O11">
        <f t="shared" si="10"/>
        <v>0.01</v>
      </c>
      <c r="P11">
        <f t="shared" si="4"/>
        <v>1710</v>
      </c>
      <c r="Q11">
        <f t="shared" si="5"/>
        <v>6.0000000000000001E-3</v>
      </c>
      <c r="R11">
        <f t="shared" si="6"/>
        <v>1.6122857142857144E-2</v>
      </c>
      <c r="T11" s="2"/>
      <c r="U11" s="2"/>
    </row>
    <row r="12" spans="1:22">
      <c r="A12" s="2" t="s">
        <v>10</v>
      </c>
      <c r="B12" s="2" t="s">
        <v>53</v>
      </c>
      <c r="C12" s="2" t="s">
        <v>37</v>
      </c>
      <c r="D12">
        <v>50</v>
      </c>
      <c r="E12">
        <v>2</v>
      </c>
      <c r="F12">
        <v>0.3</v>
      </c>
      <c r="G12" cm="1">
        <f t="array" ref="G12">_xlfn.IFS(ISBLANK(A12), "",B12="Sugar Cane", VLOOKUP(C12, $U$48:$V$50, 2, FALSE),_xlfn.IFNA(MATCH(B12, $T$43:$T$47, 0), FALSE), VLOOKUP(B12, $T$43:$V$47, 3, FALSE), TRUE, VLOOKUP(C12, $U$51:$V$53, 2, FALSE))</f>
        <v>0</v>
      </c>
      <c r="H12" s="14">
        <f t="shared" si="7"/>
        <v>100000</v>
      </c>
      <c r="I12" s="14">
        <f t="shared" si="0"/>
        <v>1.5</v>
      </c>
      <c r="J12" s="14">
        <f t="shared" si="1"/>
        <v>0.28999999999999998</v>
      </c>
      <c r="K12" s="14">
        <f t="shared" si="2"/>
        <v>0.88</v>
      </c>
      <c r="L12" s="14">
        <f t="shared" si="3"/>
        <v>6.0000000000000001E-3</v>
      </c>
      <c r="M12" s="14">
        <f t="shared" si="8"/>
        <v>6.0000000000000001E-3</v>
      </c>
      <c r="N12" s="14" t="str">
        <f t="shared" si="9"/>
        <v>n/a</v>
      </c>
      <c r="O12">
        <f t="shared" si="10"/>
        <v>0</v>
      </c>
      <c r="P12">
        <f t="shared" si="4"/>
        <v>554.4</v>
      </c>
      <c r="Q12">
        <f t="shared" si="5"/>
        <v>6.0000000000000001E-3</v>
      </c>
      <c r="R12">
        <f t="shared" si="6"/>
        <v>5.2271999999999996E-3</v>
      </c>
      <c r="T12" s="2" t="s">
        <v>6</v>
      </c>
      <c r="U12" s="2"/>
    </row>
    <row r="13" spans="1:22">
      <c r="A13" s="2" t="s">
        <v>10</v>
      </c>
      <c r="B13" s="2" t="s">
        <v>64</v>
      </c>
      <c r="C13" s="2" t="s">
        <v>35</v>
      </c>
      <c r="D13">
        <v>50</v>
      </c>
      <c r="E13">
        <v>2</v>
      </c>
      <c r="F13">
        <v>0.3</v>
      </c>
      <c r="G13" cm="1">
        <f t="array" ref="G13">_xlfn.IFS(ISBLANK(A13), "",B13="Sugar Cane", VLOOKUP(C13, $U$48:$V$50, 2, FALSE),_xlfn.IFNA(MATCH(B13, $T$43:$T$47, 0), FALSE), VLOOKUP(B13, $T$43:$V$47, 3, FALSE), TRUE, VLOOKUP(C13, $U$51:$V$53, 2, FALSE))</f>
        <v>0.8</v>
      </c>
      <c r="H13" s="14">
        <f t="shared" si="7"/>
        <v>100000</v>
      </c>
      <c r="I13" s="14">
        <f t="shared" si="0"/>
        <v>1.34</v>
      </c>
      <c r="J13" s="14">
        <f t="shared" si="1"/>
        <v>0.37</v>
      </c>
      <c r="K13" s="14">
        <f t="shared" si="2"/>
        <v>0.88</v>
      </c>
      <c r="L13" s="14">
        <f t="shared" si="3"/>
        <v>6.0000000000000001E-3</v>
      </c>
      <c r="M13" s="14">
        <f t="shared" si="8"/>
        <v>6.0000000000000001E-3</v>
      </c>
      <c r="N13" s="14">
        <f t="shared" si="9"/>
        <v>0.01</v>
      </c>
      <c r="O13">
        <f t="shared" si="10"/>
        <v>0.01</v>
      </c>
      <c r="P13">
        <f t="shared" si="4"/>
        <v>365.55199999999996</v>
      </c>
      <c r="Q13">
        <f t="shared" si="5"/>
        <v>6.0000000000000001E-3</v>
      </c>
      <c r="R13">
        <f t="shared" si="6"/>
        <v>3.4466331428571425E-3</v>
      </c>
      <c r="T13" t="s">
        <v>7</v>
      </c>
    </row>
    <row r="14" spans="1:22">
      <c r="A14" s="2" t="s">
        <v>10</v>
      </c>
      <c r="B14" s="2" t="s">
        <v>51</v>
      </c>
      <c r="C14" s="13" t="s">
        <v>37</v>
      </c>
      <c r="D14">
        <v>50</v>
      </c>
      <c r="E14">
        <v>2</v>
      </c>
      <c r="F14">
        <v>0.3</v>
      </c>
      <c r="G14" cm="1">
        <f t="array" ref="G14">_xlfn.IFS(ISBLANK(A14), "",B14="Sugar Cane", VLOOKUP(C14, $U$48:$V$50, 2, FALSE),_xlfn.IFNA(MATCH(B14, $T$43:$T$47, 0), FALSE), VLOOKUP(B14, $T$43:$V$47, 3, FALSE), TRUE, VLOOKUP(C14, $U$51:$V$53, 2, FALSE))</f>
        <v>7.0000000000000007E-2</v>
      </c>
      <c r="H14" s="14">
        <f t="shared" si="7"/>
        <v>100000</v>
      </c>
      <c r="I14" s="14">
        <f t="shared" si="0"/>
        <v>1.37</v>
      </c>
      <c r="J14" s="14">
        <f t="shared" si="1"/>
        <v>0.51</v>
      </c>
      <c r="K14" s="14">
        <f t="shared" si="2"/>
        <v>0.87</v>
      </c>
      <c r="L14" s="14">
        <f t="shared" si="3"/>
        <v>8.9999999999999993E-3</v>
      </c>
      <c r="M14" s="14">
        <f t="shared" si="8"/>
        <v>8.9999999999999993E-3</v>
      </c>
      <c r="N14" s="14">
        <f t="shared" si="9"/>
        <v>0.01</v>
      </c>
      <c r="O14">
        <f t="shared" si="10"/>
        <v>0.01</v>
      </c>
      <c r="P14">
        <f t="shared" si="4"/>
        <v>1283.6762999999999</v>
      </c>
      <c r="Q14">
        <f t="shared" si="5"/>
        <v>6.0000000000000001E-3</v>
      </c>
      <c r="R14">
        <f t="shared" si="6"/>
        <v>1.2103233685714285E-2</v>
      </c>
      <c r="T14" s="2" t="s">
        <v>10</v>
      </c>
      <c r="U14" s="2">
        <v>6.0000000000000001E-3</v>
      </c>
      <c r="V14" s="9" t="s">
        <v>8</v>
      </c>
    </row>
    <row r="15" spans="1:22">
      <c r="A15" s="2"/>
      <c r="B15" s="2"/>
      <c r="C15" s="13"/>
      <c r="H15" s="14" t="str">
        <f t="shared" si="7"/>
        <v/>
      </c>
      <c r="I15" s="14"/>
      <c r="J15" s="14"/>
      <c r="K15" s="14"/>
      <c r="L15" s="14"/>
      <c r="M15" s="14"/>
      <c r="N15" s="14" t="str">
        <f t="shared" si="9"/>
        <v/>
      </c>
      <c r="T15" s="2" t="s">
        <v>11</v>
      </c>
      <c r="U15" s="2">
        <v>5.0000000000000001E-3</v>
      </c>
      <c r="V15" s="9" t="s">
        <v>9</v>
      </c>
    </row>
    <row r="16" spans="1:22">
      <c r="A16" s="2"/>
      <c r="B16" s="2"/>
      <c r="C16" s="13"/>
      <c r="G16" s="5" t="s">
        <v>71</v>
      </c>
      <c r="H16" s="14" t="str">
        <f t="shared" si="7"/>
        <v/>
      </c>
      <c r="I16" s="14"/>
      <c r="J16" s="14"/>
      <c r="K16" s="14"/>
      <c r="L16" s="14"/>
      <c r="M16" s="14"/>
      <c r="N16" s="14" t="str">
        <f t="shared" si="9"/>
        <v/>
      </c>
      <c r="T16" s="2"/>
      <c r="U16" s="2"/>
      <c r="V16" s="9"/>
    </row>
    <row r="17" spans="1:28">
      <c r="A17" s="2" t="s">
        <v>10</v>
      </c>
      <c r="B17" s="2" t="s">
        <v>31</v>
      </c>
      <c r="C17" s="13" t="s">
        <v>61</v>
      </c>
      <c r="D17">
        <v>50</v>
      </c>
      <c r="E17">
        <v>2</v>
      </c>
      <c r="F17">
        <v>0.3</v>
      </c>
      <c r="G17" s="5">
        <v>0.1</v>
      </c>
      <c r="H17" s="14">
        <f t="shared" si="7"/>
        <v>100000</v>
      </c>
      <c r="I17" s="14">
        <f>IF(ISBLANK($A17), "", VLOOKUP($B17, $T$22:$AB$39, 2, FALSE))</f>
        <v>1.31</v>
      </c>
      <c r="J17" s="14">
        <f>IF(ISBLANK($A17), "", VLOOKUP($B17, $T$22:$AB$39, 3, FALSE))</f>
        <v>0.16</v>
      </c>
      <c r="K17" s="14">
        <f>IF(ISBLANK($A17), "", VLOOKUP($B17, $T$22:$AB$39, 4, FALSE))</f>
        <v>0.8</v>
      </c>
      <c r="L17" s="14">
        <f>IF(ISBLANK($A17), "", VLOOKUP($B17, $T$22:$AB$39, 6, FALSE))</f>
        <v>7.0000000000000001E-3</v>
      </c>
      <c r="M17" s="14">
        <f t="shared" si="8"/>
        <v>7.0000000000000001E-3</v>
      </c>
      <c r="N17" s="14">
        <f t="shared" si="9"/>
        <v>0.01</v>
      </c>
      <c r="O17">
        <f t="shared" si="10"/>
        <v>0.01</v>
      </c>
      <c r="P17">
        <f>IF(ISBLANK(A17),"", (H17*I17*(1 - F17 - G17) * K17*M17)+(H17*I17*J17*K17*O17))</f>
        <v>607.84</v>
      </c>
      <c r="Q17">
        <f>IF(ISBLANK(A17),"",VLOOKUP(A17,$T$14:$U$30,2,FALSE))</f>
        <v>6.0000000000000001E-3</v>
      </c>
      <c r="R17">
        <f>IF(ISBLANK(A17), "", P17*Q17*$U$10/1000)</f>
        <v>5.731062857142857E-3</v>
      </c>
    </row>
    <row r="18" spans="1:28">
      <c r="A18" s="2" t="s">
        <v>10</v>
      </c>
      <c r="B18" s="2" t="s">
        <v>51</v>
      </c>
      <c r="C18" s="13" t="s">
        <v>37</v>
      </c>
      <c r="D18">
        <v>50</v>
      </c>
      <c r="E18">
        <v>2</v>
      </c>
      <c r="F18">
        <v>0.3</v>
      </c>
      <c r="G18" s="5">
        <v>0.2</v>
      </c>
      <c r="H18" s="14">
        <f t="shared" si="7"/>
        <v>100000</v>
      </c>
      <c r="I18" s="14">
        <f>IF(ISBLANK($A18), "", VLOOKUP($B18, $T$22:$AB$39, 2, FALSE))</f>
        <v>1.37</v>
      </c>
      <c r="J18" s="14">
        <f>IF(ISBLANK($A18), "", VLOOKUP($B18, $T$22:$AB$39, 3, FALSE))</f>
        <v>0.51</v>
      </c>
      <c r="K18" s="14">
        <f>IF(ISBLANK($A18), "", VLOOKUP($B18, $T$22:$AB$39, 4, FALSE))</f>
        <v>0.87</v>
      </c>
      <c r="L18" s="14">
        <f>IF(ISBLANK($A18), "", VLOOKUP($B18, $T$22:$AB$39, 6, FALSE))</f>
        <v>8.9999999999999993E-3</v>
      </c>
      <c r="M18" s="14">
        <f t="shared" si="8"/>
        <v>8.9999999999999993E-3</v>
      </c>
      <c r="N18" s="14">
        <f t="shared" si="9"/>
        <v>0.01</v>
      </c>
      <c r="O18">
        <f t="shared" si="10"/>
        <v>0.01</v>
      </c>
      <c r="P18">
        <f>IF(ISBLANK(A18),"", (H18*I18*(1 - F18 - G18) * K18*M18)+(H18*I18*J18*K18*O18))</f>
        <v>1144.2239999999997</v>
      </c>
      <c r="Q18">
        <f>IF(ISBLANK(A18),"",VLOOKUP(A18,$T$14:$U$30,2,FALSE))</f>
        <v>6.0000000000000001E-3</v>
      </c>
      <c r="R18">
        <f>IF(ISBLANK(A18), "", P18*Q18*$U$10/1000)</f>
        <v>1.0788397714285712E-2</v>
      </c>
      <c r="T18" s="2"/>
      <c r="U18" s="2"/>
    </row>
    <row r="19" spans="1:28">
      <c r="A19" s="2" t="s">
        <v>10</v>
      </c>
      <c r="B19" s="2" t="s">
        <v>53</v>
      </c>
      <c r="C19" s="13" t="s">
        <v>37</v>
      </c>
      <c r="D19">
        <v>50</v>
      </c>
      <c r="E19">
        <v>2</v>
      </c>
      <c r="F19">
        <v>0.3</v>
      </c>
      <c r="G19" s="5">
        <v>0</v>
      </c>
      <c r="H19" s="14">
        <f t="shared" si="7"/>
        <v>100000</v>
      </c>
      <c r="I19" s="14">
        <f>IF(ISBLANK($A19), "", VLOOKUP($B19, $T$22:$AB$39, 2, FALSE))</f>
        <v>1.5</v>
      </c>
      <c r="J19" s="14">
        <f>IF(ISBLANK($A19), "", VLOOKUP($B19, $T$22:$AB$39, 3, FALSE))</f>
        <v>0.28999999999999998</v>
      </c>
      <c r="K19" s="14">
        <f>IF(ISBLANK($A19), "", VLOOKUP($B19, $T$22:$AB$39, 4, FALSE))</f>
        <v>0.88</v>
      </c>
      <c r="L19" s="14">
        <f>IF(ISBLANK($A19), "", VLOOKUP($B19, $T$22:$AB$39, 6, FALSE))</f>
        <v>6.0000000000000001E-3</v>
      </c>
      <c r="M19" s="14">
        <f t="shared" si="8"/>
        <v>6.0000000000000001E-3</v>
      </c>
      <c r="N19" s="14" t="str">
        <f t="shared" si="9"/>
        <v>n/a</v>
      </c>
      <c r="O19">
        <f t="shared" si="10"/>
        <v>0</v>
      </c>
      <c r="P19">
        <f>IF(ISBLANK(A19),"", (H19*I19*(1 - F19 - G19) * K19*M19)+(H19*I19*J19*K19*O19))</f>
        <v>554.4</v>
      </c>
      <c r="Q19">
        <f>IF(ISBLANK(A19),"",VLOOKUP(A19,$T$14:$U$30,2,FALSE))</f>
        <v>6.0000000000000001E-3</v>
      </c>
      <c r="R19">
        <f>IF(ISBLANK(A19), "", P19*Q19*$U$10/1000)</f>
        <v>5.2271999999999996E-3</v>
      </c>
      <c r="T19" s="2"/>
      <c r="U19" s="2"/>
    </row>
    <row r="20" spans="1:28">
      <c r="A20" s="2" t="s">
        <v>10</v>
      </c>
      <c r="B20" s="2" t="s">
        <v>70</v>
      </c>
      <c r="C20" s="13" t="s">
        <v>34</v>
      </c>
      <c r="D20">
        <v>50</v>
      </c>
      <c r="E20">
        <v>2</v>
      </c>
      <c r="F20">
        <v>0.3</v>
      </c>
      <c r="G20" s="5">
        <v>1</v>
      </c>
      <c r="H20" s="14">
        <f t="shared" si="7"/>
        <v>100000</v>
      </c>
      <c r="I20" s="14">
        <f>IF(ISBLANK($A20), "", VLOOKUP($B20, $T$22:$AB$39, 2, FALSE))</f>
        <v>1</v>
      </c>
      <c r="J20" s="14">
        <f>IF(ISBLANK($A20), "", VLOOKUP($B20, $T$22:$AB$39, 3, FALSE))</f>
        <v>0.22</v>
      </c>
      <c r="K20" s="14">
        <f>IF(ISBLANK($A20), "", VLOOKUP($B20, $T$22:$AB$39, 4, FALSE))</f>
        <v>0.85</v>
      </c>
      <c r="L20" s="14">
        <f>IF(ISBLANK($A20), "", VLOOKUP($B20, $T$22:$AB$39, 6, FALSE))</f>
        <v>8.0000000000000002E-3</v>
      </c>
      <c r="M20" s="14">
        <f t="shared" si="8"/>
        <v>8.0000000000000002E-3</v>
      </c>
      <c r="N20" s="14">
        <f t="shared" si="9"/>
        <v>8.9999999999999993E-3</v>
      </c>
      <c r="O20">
        <f t="shared" si="10"/>
        <v>8.9999999999999993E-3</v>
      </c>
      <c r="P20">
        <f>IF(ISBLANK(A20),"", (H20*I20*(1 - F20 - G20) * K20*M20)+(H20*I20*J20*K20*O20))</f>
        <v>-35.700000000000045</v>
      </c>
      <c r="Q20">
        <f>IF(ISBLANK(A20),"",VLOOKUP(A20,$T$14:$U$30,2,FALSE))</f>
        <v>6.0000000000000001E-3</v>
      </c>
      <c r="R20">
        <f>IF(ISBLANK(A20), "", P20*Q20*$U$10/1000)</f>
        <v>-3.3660000000000043E-4</v>
      </c>
      <c r="T20" s="2" t="s">
        <v>15</v>
      </c>
      <c r="U20" s="2"/>
    </row>
    <row r="21" spans="1:28" ht="17">
      <c r="T21" s="2"/>
      <c r="U21" s="2" t="s">
        <v>17</v>
      </c>
      <c r="V21" t="s">
        <v>18</v>
      </c>
      <c r="W21" t="s">
        <v>19</v>
      </c>
      <c r="X21" s="8" t="s">
        <v>20</v>
      </c>
      <c r="Y21" t="s">
        <v>21</v>
      </c>
      <c r="Z21" t="s">
        <v>22</v>
      </c>
      <c r="AA21" t="s">
        <v>23</v>
      </c>
      <c r="AB21" t="s">
        <v>24</v>
      </c>
    </row>
    <row r="22" spans="1:28">
      <c r="T22" s="2" t="s">
        <v>44</v>
      </c>
      <c r="U22" s="12">
        <v>1.5</v>
      </c>
      <c r="V22" s="11">
        <v>0.28999999999999998</v>
      </c>
      <c r="W22" s="11">
        <v>0.88</v>
      </c>
      <c r="X22" s="11">
        <v>0.4</v>
      </c>
      <c r="Y22" s="11">
        <v>6.0000000000000001E-3</v>
      </c>
      <c r="Z22" s="11">
        <v>0.01</v>
      </c>
      <c r="AA22" s="11">
        <v>0.5</v>
      </c>
      <c r="AB22" s="11">
        <v>0.9</v>
      </c>
    </row>
    <row r="23" spans="1:28">
      <c r="B23" s="2"/>
      <c r="C23" s="2"/>
      <c r="N23" s="14"/>
      <c r="T23" s="2" t="s">
        <v>45</v>
      </c>
      <c r="U23" s="12">
        <v>1.24</v>
      </c>
      <c r="V23" s="11">
        <v>0.32</v>
      </c>
      <c r="W23" s="11">
        <v>0.88</v>
      </c>
      <c r="X23" s="11">
        <v>0.4</v>
      </c>
      <c r="Y23" s="11">
        <v>7.0000000000000001E-3</v>
      </c>
      <c r="Z23" s="11">
        <v>0.01</v>
      </c>
      <c r="AA23" s="11">
        <v>0.5</v>
      </c>
      <c r="AB23" s="11">
        <v>0.85</v>
      </c>
    </row>
    <row r="24" spans="1:28">
      <c r="B24" s="2"/>
      <c r="C24" s="2"/>
      <c r="T24" s="2" t="s">
        <v>46</v>
      </c>
      <c r="U24" s="12">
        <v>0.81</v>
      </c>
      <c r="V24" s="11">
        <v>0.39</v>
      </c>
      <c r="W24" s="11">
        <v>0.85</v>
      </c>
      <c r="X24" s="11">
        <v>0.42</v>
      </c>
      <c r="Y24" s="11">
        <v>5.0000000000000001E-3</v>
      </c>
      <c r="Z24" s="11">
        <v>7.0000000000000001E-3</v>
      </c>
      <c r="AA24" s="11">
        <v>1</v>
      </c>
      <c r="AB24" s="11">
        <v>0.8</v>
      </c>
    </row>
    <row r="25" spans="1:28">
      <c r="P25" t="str">
        <f>IF(ISBLANK(D25), "", I25/D25)</f>
        <v/>
      </c>
      <c r="T25" s="2" t="s">
        <v>47</v>
      </c>
      <c r="U25" s="12">
        <v>1.42</v>
      </c>
      <c r="V25" s="11">
        <v>0.43</v>
      </c>
      <c r="W25" s="11">
        <v>0.88</v>
      </c>
      <c r="X25" s="11">
        <v>0.4</v>
      </c>
      <c r="Y25" s="11">
        <v>6.0000000000000001E-3</v>
      </c>
      <c r="Z25" s="11">
        <v>0.01</v>
      </c>
      <c r="AA25" s="11">
        <v>0.5</v>
      </c>
      <c r="AB25" s="11">
        <v>0.85</v>
      </c>
    </row>
    <row r="26" spans="1:28">
      <c r="P26" t="str">
        <f>IF(ISBLANK(D26), "", I26/D26)</f>
        <v/>
      </c>
      <c r="T26" s="2" t="s">
        <v>31</v>
      </c>
      <c r="U26" s="12">
        <v>1.31</v>
      </c>
      <c r="V26" s="11">
        <v>0.16</v>
      </c>
      <c r="W26" s="11">
        <v>0.8</v>
      </c>
      <c r="X26" s="11">
        <v>0.42</v>
      </c>
      <c r="Y26" s="11">
        <v>7.0000000000000001E-3</v>
      </c>
      <c r="Z26" s="11">
        <v>0.01</v>
      </c>
      <c r="AA26" s="11">
        <v>1</v>
      </c>
      <c r="AB26" s="11">
        <v>0.8</v>
      </c>
    </row>
    <row r="27" spans="1:28">
      <c r="P27" t="str">
        <f>IF(ISBLANK(D27), "", I27/D27)</f>
        <v/>
      </c>
      <c r="T27" s="2" t="s">
        <v>48</v>
      </c>
      <c r="U27" s="12">
        <v>1.5</v>
      </c>
      <c r="V27" s="11">
        <v>0.22</v>
      </c>
      <c r="W27" s="11">
        <v>0.8</v>
      </c>
      <c r="X27" s="11">
        <v>0.4</v>
      </c>
      <c r="Y27" s="11">
        <v>8.0000000000000002E-3</v>
      </c>
      <c r="Z27" s="11">
        <v>7.0000000000000001E-3</v>
      </c>
      <c r="AA27" s="11">
        <v>0.5</v>
      </c>
      <c r="AB27" s="11">
        <v>0.85</v>
      </c>
    </row>
    <row r="28" spans="1:28">
      <c r="P28" t="str">
        <f>IF(ISBLANK(D28), "", I28/D28)</f>
        <v/>
      </c>
      <c r="T28" s="2" t="s">
        <v>49</v>
      </c>
      <c r="U28" s="12">
        <v>1.5</v>
      </c>
      <c r="V28" s="11">
        <v>0.42</v>
      </c>
      <c r="W28" s="11">
        <v>0.88</v>
      </c>
      <c r="X28" s="11">
        <v>0.4</v>
      </c>
      <c r="Y28" s="11">
        <v>6.0000000000000001E-3</v>
      </c>
      <c r="Z28" s="11">
        <v>0.01</v>
      </c>
      <c r="AA28" s="11">
        <v>0.5</v>
      </c>
      <c r="AB28" s="11">
        <v>0.85</v>
      </c>
    </row>
    <row r="29" spans="1:28">
      <c r="T29" s="2" t="s">
        <v>50</v>
      </c>
      <c r="U29" s="12">
        <v>1.46</v>
      </c>
      <c r="V29" s="11">
        <v>0.36</v>
      </c>
      <c r="W29" s="11">
        <v>0.88</v>
      </c>
      <c r="X29" s="11">
        <v>0.4</v>
      </c>
      <c r="Y29" s="11">
        <v>6.0000000000000001E-3</v>
      </c>
      <c r="Z29" s="11">
        <v>0.01</v>
      </c>
      <c r="AA29" s="11">
        <v>0.5</v>
      </c>
      <c r="AB29" s="11">
        <v>0.85</v>
      </c>
    </row>
    <row r="30" spans="1:28">
      <c r="T30" s="2" t="s">
        <v>51</v>
      </c>
      <c r="U30" s="12">
        <v>1.37</v>
      </c>
      <c r="V30" s="11">
        <v>0.51</v>
      </c>
      <c r="W30" s="11">
        <v>0.87</v>
      </c>
      <c r="X30" s="11">
        <v>0.4</v>
      </c>
      <c r="Y30" s="11">
        <v>8.9999999999999993E-3</v>
      </c>
      <c r="Z30" s="11">
        <v>0.01</v>
      </c>
      <c r="AA30" s="11">
        <v>0.5</v>
      </c>
      <c r="AB30" s="11">
        <v>0.85</v>
      </c>
    </row>
    <row r="31" spans="1:28">
      <c r="T31" s="2" t="s">
        <v>33</v>
      </c>
      <c r="U31" s="12">
        <v>0.34</v>
      </c>
      <c r="V31" s="11">
        <v>0.43</v>
      </c>
      <c r="W31" s="11">
        <v>0.25</v>
      </c>
      <c r="X31" s="11">
        <v>0.4</v>
      </c>
      <c r="Y31" s="11">
        <v>0.02</v>
      </c>
      <c r="Z31" s="11">
        <v>0.01</v>
      </c>
      <c r="AA31" s="11" t="s">
        <v>56</v>
      </c>
      <c r="AB31" s="11">
        <v>0.85</v>
      </c>
    </row>
    <row r="32" spans="1:28">
      <c r="T32" s="2" t="s">
        <v>52</v>
      </c>
      <c r="U32" s="12">
        <v>1.07</v>
      </c>
      <c r="V32" s="11">
        <v>0.2</v>
      </c>
      <c r="W32" s="11">
        <v>0.8</v>
      </c>
      <c r="X32" s="11">
        <v>0.42</v>
      </c>
      <c r="Y32" s="11">
        <v>1.6E-2</v>
      </c>
      <c r="Z32" s="11">
        <v>1.4E-2</v>
      </c>
      <c r="AA32" s="11">
        <v>0.5</v>
      </c>
      <c r="AB32" s="11">
        <v>0.85</v>
      </c>
    </row>
    <row r="33" spans="20:28">
      <c r="T33" s="2" t="s">
        <v>43</v>
      </c>
      <c r="U33" s="12">
        <v>0.25</v>
      </c>
      <c r="V33" s="11">
        <v>0.45</v>
      </c>
      <c r="W33" s="11">
        <v>0.2</v>
      </c>
      <c r="X33" s="11">
        <v>0.4</v>
      </c>
      <c r="Y33" s="11">
        <v>5.0000000000000001E-3</v>
      </c>
      <c r="Z33" s="11">
        <v>7.0000000000000001E-3</v>
      </c>
      <c r="AA33" s="11">
        <v>1</v>
      </c>
      <c r="AB33" s="11">
        <v>0.8</v>
      </c>
    </row>
    <row r="34" spans="20:28">
      <c r="T34" s="2" t="s">
        <v>3</v>
      </c>
      <c r="U34" s="12">
        <v>1.9</v>
      </c>
      <c r="V34" s="11">
        <v>0.3</v>
      </c>
      <c r="W34" s="11">
        <v>0.9</v>
      </c>
      <c r="X34" s="11">
        <v>0.4</v>
      </c>
      <c r="Y34" s="11">
        <v>0.01</v>
      </c>
      <c r="Z34" s="11">
        <v>0.01</v>
      </c>
      <c r="AA34" s="11" t="s">
        <v>56</v>
      </c>
      <c r="AB34" s="11">
        <v>0.85</v>
      </c>
    </row>
    <row r="35" spans="20:28">
      <c r="T35" s="2" t="s">
        <v>53</v>
      </c>
      <c r="U35" s="12">
        <v>1.5</v>
      </c>
      <c r="V35" s="11">
        <v>0.28999999999999998</v>
      </c>
      <c r="W35" s="11">
        <v>0.88</v>
      </c>
      <c r="X35" s="11">
        <v>0.4</v>
      </c>
      <c r="Y35" s="11">
        <v>6.0000000000000001E-3</v>
      </c>
      <c r="Z35" s="11" t="s">
        <v>56</v>
      </c>
      <c r="AA35" s="11" t="s">
        <v>57</v>
      </c>
      <c r="AB35" s="11">
        <v>0.85</v>
      </c>
    </row>
    <row r="36" spans="20:28">
      <c r="T36" s="2" t="s">
        <v>54</v>
      </c>
      <c r="U36" s="12">
        <v>2.08</v>
      </c>
      <c r="V36" s="11">
        <v>0.33</v>
      </c>
      <c r="W36" s="11">
        <v>0.96</v>
      </c>
      <c r="X36" s="11">
        <v>0.4</v>
      </c>
      <c r="Y36" s="11">
        <v>8.9999999999999993E-3</v>
      </c>
      <c r="Z36" s="11">
        <v>0.01</v>
      </c>
      <c r="AA36" s="11">
        <v>0.5</v>
      </c>
      <c r="AB36" s="11">
        <v>0.85</v>
      </c>
    </row>
    <row r="37" spans="20:28">
      <c r="T37" s="2" t="s">
        <v>32</v>
      </c>
      <c r="U37" s="12">
        <v>1.34</v>
      </c>
      <c r="V37" s="11">
        <v>0.37</v>
      </c>
      <c r="W37" s="11">
        <v>0.88</v>
      </c>
      <c r="X37" s="11">
        <v>0.4</v>
      </c>
      <c r="Y37" s="11">
        <v>6.0000000000000001E-3</v>
      </c>
      <c r="Z37" s="11">
        <v>0.01</v>
      </c>
      <c r="AA37" s="11" t="s">
        <v>56</v>
      </c>
      <c r="AB37" s="11">
        <v>0.85</v>
      </c>
    </row>
    <row r="38" spans="20:28">
      <c r="T38" s="2" t="s">
        <v>70</v>
      </c>
      <c r="U38" s="10">
        <v>1</v>
      </c>
      <c r="V38" s="10">
        <v>0.22</v>
      </c>
      <c r="W38" s="10">
        <v>0.85</v>
      </c>
      <c r="X38" s="10">
        <v>0.4</v>
      </c>
      <c r="Y38" s="10">
        <v>8.0000000000000002E-3</v>
      </c>
      <c r="Z38" s="10">
        <v>8.9999999999999993E-3</v>
      </c>
      <c r="AA38" s="10" t="s">
        <v>16</v>
      </c>
      <c r="AB38" s="10" t="s">
        <v>56</v>
      </c>
    </row>
    <row r="39" spans="20:28">
      <c r="T39" s="2" t="s">
        <v>59</v>
      </c>
      <c r="U39" s="10">
        <v>1.5</v>
      </c>
      <c r="V39" s="10">
        <v>0.28999999999999998</v>
      </c>
      <c r="W39" s="10">
        <v>0.88</v>
      </c>
      <c r="X39" s="10">
        <v>0.4</v>
      </c>
      <c r="Y39" s="10">
        <v>6.0000000000000001E-3</v>
      </c>
      <c r="Z39" s="10" t="s">
        <v>16</v>
      </c>
      <c r="AA39" s="10" t="s">
        <v>16</v>
      </c>
      <c r="AB39" s="10" t="s">
        <v>56</v>
      </c>
    </row>
    <row r="40" spans="20:28">
      <c r="T40" s="2"/>
      <c r="U40" s="12"/>
      <c r="V40" s="11"/>
      <c r="W40" s="11"/>
      <c r="X40" s="11"/>
      <c r="Y40" s="11"/>
      <c r="Z40" s="11"/>
      <c r="AA40" s="11"/>
      <c r="AB40" s="11"/>
    </row>
    <row r="41" spans="20:28">
      <c r="T41" s="2"/>
      <c r="U41" s="2"/>
    </row>
    <row r="42" spans="20:28">
      <c r="T42" s="2" t="s">
        <v>27</v>
      </c>
      <c r="U42" s="2" t="s">
        <v>28</v>
      </c>
      <c r="V42" s="2" t="s">
        <v>29</v>
      </c>
    </row>
    <row r="43" spans="20:28">
      <c r="T43" s="2" t="s">
        <v>31</v>
      </c>
      <c r="U43" s="2" t="s">
        <v>30</v>
      </c>
      <c r="V43">
        <v>0.06</v>
      </c>
    </row>
    <row r="44" spans="20:28">
      <c r="T44" s="2" t="s">
        <v>33</v>
      </c>
      <c r="U44" s="2" t="s">
        <v>30</v>
      </c>
      <c r="V44">
        <v>1</v>
      </c>
    </row>
    <row r="45" spans="20:28">
      <c r="T45" t="s">
        <v>3</v>
      </c>
      <c r="U45" s="2" t="s">
        <v>30</v>
      </c>
      <c r="V45">
        <v>0</v>
      </c>
    </row>
    <row r="46" spans="20:28">
      <c r="T46" s="2" t="s">
        <v>53</v>
      </c>
      <c r="U46" s="2" t="s">
        <v>30</v>
      </c>
      <c r="V46">
        <v>0</v>
      </c>
    </row>
    <row r="47" spans="20:28">
      <c r="T47" s="2" t="s">
        <v>32</v>
      </c>
      <c r="U47" s="2" t="s">
        <v>30</v>
      </c>
      <c r="V47">
        <v>0.8</v>
      </c>
    </row>
    <row r="48" spans="20:28">
      <c r="T48" s="2" t="s">
        <v>39</v>
      </c>
      <c r="U48" s="2" t="s">
        <v>34</v>
      </c>
      <c r="V48">
        <v>0</v>
      </c>
    </row>
    <row r="49" spans="20:22">
      <c r="T49" s="2" t="s">
        <v>39</v>
      </c>
      <c r="U49" s="2" t="s">
        <v>35</v>
      </c>
      <c r="V49">
        <v>0.03</v>
      </c>
    </row>
    <row r="50" spans="20:22">
      <c r="T50" s="2" t="s">
        <v>39</v>
      </c>
      <c r="U50" s="2" t="s">
        <v>36</v>
      </c>
      <c r="V50">
        <v>0</v>
      </c>
    </row>
    <row r="51" spans="20:22">
      <c r="T51" s="2" t="s">
        <v>38</v>
      </c>
      <c r="U51" s="2" t="s">
        <v>34</v>
      </c>
      <c r="V51">
        <v>0.05</v>
      </c>
    </row>
    <row r="52" spans="20:22">
      <c r="T52" s="2" t="s">
        <v>38</v>
      </c>
      <c r="U52" s="2" t="s">
        <v>37</v>
      </c>
      <c r="V52">
        <v>7.0000000000000007E-2</v>
      </c>
    </row>
    <row r="53" spans="20:22">
      <c r="T53" s="2" t="s">
        <v>38</v>
      </c>
      <c r="U53" s="2" t="s">
        <v>35</v>
      </c>
      <c r="V53">
        <v>0.04</v>
      </c>
    </row>
    <row r="54" spans="20:22">
      <c r="T54" s="2" t="s">
        <v>38</v>
      </c>
      <c r="U54" s="2" t="s">
        <v>58</v>
      </c>
      <c r="V54">
        <v>0.09</v>
      </c>
    </row>
    <row r="55" spans="20:22">
      <c r="T55" s="2" t="s">
        <v>38</v>
      </c>
      <c r="U55" s="2" t="s">
        <v>36</v>
      </c>
      <c r="V55">
        <v>0.11</v>
      </c>
    </row>
    <row r="56" spans="20:22">
      <c r="T56" s="2" t="s">
        <v>38</v>
      </c>
      <c r="U56" s="2" t="s">
        <v>61</v>
      </c>
      <c r="V56">
        <v>0.16</v>
      </c>
    </row>
    <row r="57" spans="20:22">
      <c r="T57" s="2" t="s">
        <v>38</v>
      </c>
      <c r="U57" s="2" t="s">
        <v>62</v>
      </c>
      <c r="V57">
        <v>0.01</v>
      </c>
    </row>
    <row r="58" spans="20:22">
      <c r="T58" s="2" t="s">
        <v>38</v>
      </c>
      <c r="U58" s="2" t="s">
        <v>60</v>
      </c>
      <c r="V58">
        <v>0</v>
      </c>
    </row>
  </sheetData>
  <dataConsolidate/>
  <pageMargins left="0.7" right="0.7" top="0.75" bottom="0.75" header="0.3" footer="0.3"/>
  <ignoredErrors>
    <ignoredError sqref="N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2026-04-17T03:17:54Z</dcterms:modified>
</cp:coreProperties>
</file>