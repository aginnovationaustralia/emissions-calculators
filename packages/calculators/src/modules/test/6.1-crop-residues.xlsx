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13_ncr:1_{5DD05233-11B6-2149-A3FB-BDB7C462538F}" xr6:coauthVersionLast="47" xr6:coauthVersionMax="47" xr10:uidLastSave="{00000000-0000-0000-0000-000000000000}"/>
  <bookViews>
    <workbookView xWindow="0" yWindow="660" windowWidth="28800" windowHeight="15940" xr2:uid="{5678E890-3691-CF46-80E7-00FB1F103661}"/>
  </bookViews>
  <sheets>
    <sheet name="6.1.1.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1" l="1"/>
  <c r="F18" i="1"/>
  <c r="F19" i="1"/>
  <c r="F20" i="1"/>
  <c r="F17" i="1"/>
  <c r="M6" i="1"/>
  <c r="N6" i="1" s="1"/>
  <c r="M7" i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M16" i="1"/>
  <c r="M17" i="1"/>
  <c r="M18" i="1"/>
  <c r="N18" i="1" s="1"/>
  <c r="M19" i="1"/>
  <c r="N19" i="1" s="1"/>
  <c r="M20" i="1"/>
  <c r="N20" i="1" s="1"/>
  <c r="M5" i="1"/>
  <c r="N5" i="1" s="1"/>
  <c r="H6" i="1"/>
  <c r="I6" i="1"/>
  <c r="J6" i="1"/>
  <c r="K6" i="1"/>
  <c r="L6" i="1" s="1"/>
  <c r="H7" i="1"/>
  <c r="I7" i="1"/>
  <c r="J7" i="1"/>
  <c r="K7" i="1"/>
  <c r="L7" i="1" s="1"/>
  <c r="N7" i="1"/>
  <c r="H8" i="1"/>
  <c r="I8" i="1"/>
  <c r="J8" i="1"/>
  <c r="K8" i="1"/>
  <c r="L8" i="1" s="1"/>
  <c r="H9" i="1"/>
  <c r="I9" i="1"/>
  <c r="J9" i="1"/>
  <c r="K9" i="1"/>
  <c r="L9" i="1" s="1"/>
  <c r="H10" i="1"/>
  <c r="I10" i="1"/>
  <c r="J10" i="1"/>
  <c r="K10" i="1"/>
  <c r="L10" i="1" s="1"/>
  <c r="H11" i="1"/>
  <c r="I11" i="1"/>
  <c r="J11" i="1"/>
  <c r="K11" i="1"/>
  <c r="L11" i="1" s="1"/>
  <c r="H12" i="1"/>
  <c r="I12" i="1"/>
  <c r="J12" i="1"/>
  <c r="K12" i="1"/>
  <c r="L12" i="1" s="1"/>
  <c r="H13" i="1"/>
  <c r="I13" i="1"/>
  <c r="J13" i="1"/>
  <c r="K13" i="1"/>
  <c r="L13" i="1" s="1"/>
  <c r="H14" i="1"/>
  <c r="I14" i="1"/>
  <c r="J14" i="1"/>
  <c r="K14" i="1"/>
  <c r="L14" i="1" s="1"/>
  <c r="H17" i="1"/>
  <c r="I17" i="1"/>
  <c r="J17" i="1"/>
  <c r="K17" i="1"/>
  <c r="L17" i="1" s="1"/>
  <c r="N17" i="1"/>
  <c r="H18" i="1"/>
  <c r="I18" i="1"/>
  <c r="J18" i="1"/>
  <c r="K18" i="1"/>
  <c r="L18" i="1" s="1"/>
  <c r="H19" i="1"/>
  <c r="I19" i="1"/>
  <c r="J19" i="1"/>
  <c r="K19" i="1"/>
  <c r="L19" i="1" s="1"/>
  <c r="H20" i="1"/>
  <c r="I20" i="1"/>
  <c r="J20" i="1"/>
  <c r="K20" i="1"/>
  <c r="L20" i="1" s="1"/>
  <c r="K5" i="1"/>
  <c r="L5" i="1" s="1"/>
  <c r="J5" i="1"/>
  <c r="I5" i="1"/>
  <c r="H5" i="1"/>
  <c r="P18" i="1"/>
  <c r="P19" i="1"/>
  <c r="P20" i="1"/>
  <c r="P17" i="1"/>
  <c r="F6" i="1" a="1"/>
  <c r="F7" i="1" a="1"/>
  <c r="F8" i="1" a="1"/>
  <c r="F9" i="1" a="1"/>
  <c r="F10" i="1" a="1"/>
  <c r="F11" i="1" a="1"/>
  <c r="F12" i="1" a="1"/>
  <c r="F13" i="1" a="1"/>
  <c r="F14" i="1" a="1"/>
  <c r="F5" i="1" a="1"/>
  <c r="P6" i="1"/>
  <c r="P7" i="1"/>
  <c r="P8" i="1"/>
  <c r="P9" i="1"/>
  <c r="P10" i="1"/>
  <c r="P11" i="1"/>
  <c r="P12" i="1"/>
  <c r="P13" i="1"/>
  <c r="P14" i="1"/>
  <c r="P5" i="1"/>
  <c r="O13" i="1" l="1"/>
  <c r="O14" i="1"/>
  <c r="O18" i="1"/>
  <c r="O12" i="1"/>
  <c r="O11" i="1"/>
  <c r="O10" i="1"/>
  <c r="O5" i="1"/>
  <c r="O20" i="1"/>
  <c r="O19" i="1"/>
  <c r="O17" i="1"/>
  <c r="O8" i="1"/>
  <c r="O6" i="1"/>
  <c r="O7" i="1"/>
  <c r="O9" i="1"/>
  <c r="Q17" i="1" l="1"/>
  <c r="Q20" i="1"/>
  <c r="Q19" i="1"/>
  <c r="Q18" i="1"/>
  <c r="Q12" i="1"/>
  <c r="Q9" i="1"/>
  <c r="Q10" i="1"/>
  <c r="Q13" i="1"/>
  <c r="Q6" i="1"/>
  <c r="Q7" i="1"/>
  <c r="Q8" i="1"/>
  <c r="Q11" i="1"/>
  <c r="Q14" i="1"/>
  <c r="Q5" i="1"/>
  <c r="O25" i="1"/>
  <c r="O26" i="1"/>
  <c r="O27" i="1"/>
  <c r="O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<sst xmlns="http://schemas.openxmlformats.org/spreadsheetml/2006/main" count="148" uniqueCount="73">
  <si>
    <t>Method 1</t>
  </si>
  <si>
    <t>Constants</t>
  </si>
  <si>
    <t>Cn2o</t>
  </si>
  <si>
    <t>Cotton</t>
  </si>
  <si>
    <t>E</t>
  </si>
  <si>
    <r>
      <t>𝐸 = ∑ (𝑀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 xml:space="preserve">𝑁𝑖 </t>
    </r>
    <r>
      <rPr>
        <sz val="11"/>
        <color rgb="FF000000"/>
        <rFont val="Helvetica"/>
        <family val="2"/>
      </rPr>
      <t>× 𝐶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  <r>
      <rPr>
        <sz val="11"/>
        <color rgb="FF000000"/>
        <rFont val="Helvetica"/>
        <family val="2"/>
      </rPr>
      <t>)</t>
    </r>
  </si>
  <si>
    <t>Efni</t>
  </si>
  <si>
    <t>Table A.2.1.4</t>
  </si>
  <si>
    <t>Wet climate zone</t>
  </si>
  <si>
    <t>Dry climate zones</t>
  </si>
  <si>
    <t>wet</t>
  </si>
  <si>
    <t>dry</t>
  </si>
  <si>
    <t>Climate zone</t>
  </si>
  <si>
    <t>Mc</t>
  </si>
  <si>
    <r>
      <t>𝑀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 xml:space="preserve">= (𝑃 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>× 𝑅</t>
    </r>
    <r>
      <rPr>
        <sz val="8"/>
        <color rgb="FF000000"/>
        <rFont val="Helvetica"/>
        <family val="2"/>
      </rPr>
      <t xml:space="preserve">𝐴𝐺𝑐 </t>
    </r>
    <r>
      <rPr>
        <sz val="11"/>
        <color rgb="FF000000"/>
        <rFont val="Helvetica"/>
        <family val="2"/>
      </rPr>
      <t xml:space="preserve">× (1 − 𝐹 </t>
    </r>
    <r>
      <rPr>
        <sz val="8"/>
        <color rgb="FF000000"/>
        <rFont val="Helvetica"/>
        <family val="2"/>
      </rPr>
      <t>𝑐</t>
    </r>
    <r>
      <rPr>
        <sz val="11"/>
        <color rgb="FF000000"/>
        <rFont val="Helvetica"/>
        <family val="2"/>
      </rPr>
      <t>− 𝐹𝐹𝑂𝐷</t>
    </r>
    <r>
      <rPr>
        <sz val="8"/>
        <color rgb="FF000000"/>
        <rFont val="Helvetica"/>
        <family val="2"/>
      </rPr>
      <t>𝑐</t>
    </r>
    <r>
      <rPr>
        <sz val="11"/>
        <color rgb="FF000000"/>
        <rFont val="Helvetica"/>
        <family val="2"/>
      </rPr>
      <t>) × 𝐷𝑀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>× 𝑁𝐶</t>
    </r>
    <r>
      <rPr>
        <sz val="8"/>
        <color rgb="FF000000"/>
        <rFont val="Helvetica"/>
        <family val="2"/>
      </rPr>
      <t>𝐴𝐺𝑐</t>
    </r>
    <r>
      <rPr>
        <sz val="11"/>
        <color rgb="FF000000"/>
        <rFont val="Helvetica"/>
        <family val="2"/>
      </rPr>
      <t xml:space="preserve">) + (𝑃 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>× 𝑅</t>
    </r>
    <r>
      <rPr>
        <sz val="8"/>
        <color rgb="FF000000"/>
        <rFont val="Helvetica"/>
        <family val="2"/>
      </rPr>
      <t xml:space="preserve">𝐴𝐺𝑐 </t>
    </r>
    <r>
      <rPr>
        <sz val="11"/>
        <color rgb="FF000000"/>
        <rFont val="Helvetica"/>
        <family val="2"/>
      </rPr>
      <t>× 𝑅</t>
    </r>
    <r>
      <rPr>
        <sz val="8"/>
        <color rgb="FF000000"/>
        <rFont val="Helvetica"/>
        <family val="2"/>
      </rPr>
      <t xml:space="preserve">𝐵𝐺𝑐 </t>
    </r>
    <r>
      <rPr>
        <sz val="11"/>
        <color rgb="FF000000"/>
        <rFont val="Helvetica"/>
        <family val="2"/>
      </rPr>
      <t>× 𝐷𝑀</t>
    </r>
    <r>
      <rPr>
        <sz val="8"/>
        <color rgb="FF000000"/>
        <rFont val="Helvetica"/>
        <family val="2"/>
      </rPr>
      <t xml:space="preserve">𝑐 </t>
    </r>
    <r>
      <rPr>
        <sz val="11"/>
        <color rgb="FF000000"/>
        <rFont val="Helvetica"/>
        <family val="2"/>
      </rPr>
      <t>× 𝑁𝐶</t>
    </r>
    <r>
      <rPr>
        <sz val="8"/>
        <color rgb="FF000000"/>
        <rFont val="Helvetica"/>
        <family val="2"/>
      </rPr>
      <t>𝐵𝐺𝑐</t>
    </r>
    <r>
      <rPr>
        <sz val="11"/>
        <color rgb="FF000000"/>
        <rFont val="Helvetica"/>
        <family val="2"/>
      </rPr>
      <t>)</t>
    </r>
  </si>
  <si>
    <t>Table A.2.1.1</t>
  </si>
  <si>
    <t>n/a </t>
  </si>
  <si>
    <t>RAGC</t>
  </si>
  <si>
    <t>RBGC</t>
  </si>
  <si>
    <t>DMc</t>
  </si>
  <si>
    <t>CCc</t>
  </si>
  <si>
    <t>Ncagc</t>
  </si>
  <si>
    <t>NCbgc</t>
  </si>
  <si>
    <t>Sc</t>
  </si>
  <si>
    <t>Zc</t>
  </si>
  <si>
    <t>Crop type</t>
  </si>
  <si>
    <t>Fc</t>
  </si>
  <si>
    <t>Table A.2.1.2</t>
  </si>
  <si>
    <t>State</t>
  </si>
  <si>
    <t>FFODc</t>
  </si>
  <si>
    <t>All states</t>
  </si>
  <si>
    <t>Rice</t>
  </si>
  <si>
    <t>Forage crops</t>
  </si>
  <si>
    <t>Tubers and roots</t>
  </si>
  <si>
    <t>NSW</t>
  </si>
  <si>
    <t>QLD</t>
  </si>
  <si>
    <t>WA</t>
  </si>
  <si>
    <t>VIC</t>
  </si>
  <si>
    <t>All other crop types</t>
  </si>
  <si>
    <t>Sugar Cane</t>
  </si>
  <si>
    <t>NCbcg</t>
  </si>
  <si>
    <t>Pc</t>
  </si>
  <si>
    <t>Sugar cane</t>
  </si>
  <si>
    <t>Wheat</t>
  </si>
  <si>
    <t>Barley</t>
  </si>
  <si>
    <t>Maize</t>
  </si>
  <si>
    <t>Oats</t>
  </si>
  <si>
    <t>Sorghum</t>
  </si>
  <si>
    <t>Triticale</t>
  </si>
  <si>
    <t>Other cereals</t>
  </si>
  <si>
    <t>Pulses</t>
  </si>
  <si>
    <t>Peanuts</t>
  </si>
  <si>
    <t>Hops and grape vines</t>
  </si>
  <si>
    <t>Oilseeds</t>
  </si>
  <si>
    <t>Fraction crop burnt</t>
  </si>
  <si>
    <t>n/a</t>
  </si>
  <si>
    <t xml:space="preserve">    n/a</t>
  </si>
  <si>
    <t>SA</t>
  </si>
  <si>
    <t>Other perennial crops</t>
  </si>
  <si>
    <t>ACT</t>
  </si>
  <si>
    <t>TAS</t>
  </si>
  <si>
    <t>NT</t>
  </si>
  <si>
    <t>Tubers and Roots</t>
  </si>
  <si>
    <t>Forage Crops</t>
  </si>
  <si>
    <t>Fraction of crop removed</t>
  </si>
  <si>
    <t>Residue crop ratio</t>
  </si>
  <si>
    <t>Dry matter content</t>
  </si>
  <si>
    <t>Above ground N</t>
  </si>
  <si>
    <t>Below above ratio</t>
  </si>
  <si>
    <t>Other Annual Crops</t>
  </si>
  <si>
    <t>Custom values</t>
  </si>
  <si>
    <t>Total yield in kg</t>
  </si>
  <si>
    <t>Mremoved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</si>
</sst>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0"/>
      <color rgb="FF000000"/>
      <name val="Arial"/>
      <family val="2"/>
    </font>
    <font>
      <sz val="12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2" borderId="0" xfId="0" applyFill="1"/>
    <xf numFmtId="0" fontId="0" fillId="3" borderId="0" xfId="0" applyFill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7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stants/comm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n"/>
    </sheetNames>
    <definedNames>
      <definedName name="common_cn2o" refersTo="='common'!$B$4"/>
    </definedNames>
    <sheetDataSet>
      <sheetData sheetId="0">
        <row r="4">
          <cell r="B4">
            <v>1.57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655F-5BFE-554E-A3D3-9DFA9517010F}">
  <dimension ref="A1:AA58"/>
  <sheetViews>
    <sheetView tabSelected="1" workbookViewId="0">
      <selection activeCell="K22" sqref="K22"/>
    </sheetView>
  </sheetViews>
  <sheetFormatPr baseColWidth="10" defaultRowHeight="16"/>
  <cols>
    <col min="1" max="1" width="11.83203125" style="3" bestFit="1" customWidth="1"/>
    <col min="2" max="2" width="17.33203125" customWidth="1"/>
    <col min="3" max="3" width="5.83203125" bestFit="1" customWidth="1"/>
    <col min="4" max="5" width="10.1640625" customWidth="1"/>
    <col min="6" max="6" width="13.33203125" customWidth="1"/>
    <col min="7" max="7" width="13.6640625" bestFit="1" customWidth="1"/>
    <col min="8" max="9" width="11" bestFit="1" customWidth="1"/>
    <col min="10" max="10" width="10.33203125" bestFit="1" customWidth="1"/>
    <col min="11" max="11" width="8.6640625" bestFit="1" customWidth="1"/>
    <col min="12" max="12" width="9.83203125" customWidth="1"/>
    <col min="13" max="13" width="8.6640625" bestFit="1" customWidth="1"/>
    <col min="14" max="14" width="11" customWidth="1"/>
    <col min="15" max="15" width="12.83203125" customWidth="1"/>
    <col min="17" max="17" width="12.1640625" bestFit="1" customWidth="1"/>
    <col min="19" max="19" width="36" customWidth="1"/>
    <col min="23" max="23" width="6.33203125" style="8" bestFit="1" customWidth="1"/>
  </cols>
  <sheetData>
    <row r="1" spans="1:21" ht="17">
      <c r="A1" s="3" t="s">
        <v>0</v>
      </c>
      <c r="Q1" s="1" t="s">
        <v>5</v>
      </c>
    </row>
    <row r="2" spans="1:21">
      <c r="O2" s="1"/>
      <c r="Q2" s="1"/>
    </row>
    <row r="3" spans="1:21" ht="34">
      <c r="D3" s="8" t="s">
        <v>54</v>
      </c>
      <c r="E3" s="8"/>
      <c r="F3" s="8" t="s">
        <v>64</v>
      </c>
      <c r="G3" s="8" t="s">
        <v>71</v>
      </c>
      <c r="H3" s="8" t="s">
        <v>65</v>
      </c>
      <c r="I3" s="8" t="s">
        <v>68</v>
      </c>
      <c r="J3" s="8" t="s">
        <v>66</v>
      </c>
      <c r="K3" s="8" t="s">
        <v>67</v>
      </c>
      <c r="L3" s="8"/>
      <c r="M3" s="8"/>
      <c r="N3" s="8"/>
      <c r="O3" s="1" t="s">
        <v>14</v>
      </c>
      <c r="Q3" s="1"/>
    </row>
    <row r="4" spans="1:21" ht="17">
      <c r="A4" s="4" t="s">
        <v>12</v>
      </c>
      <c r="B4" s="5" t="s">
        <v>25</v>
      </c>
      <c r="C4" s="5" t="s">
        <v>28</v>
      </c>
      <c r="D4" s="5" t="s">
        <v>26</v>
      </c>
      <c r="E4" s="5" t="s">
        <v>72</v>
      </c>
      <c r="F4" t="s">
        <v>29</v>
      </c>
      <c r="G4" s="5" t="s">
        <v>41</v>
      </c>
      <c r="H4" t="s">
        <v>17</v>
      </c>
      <c r="I4" t="s">
        <v>18</v>
      </c>
      <c r="J4" t="s">
        <v>19</v>
      </c>
      <c r="K4" t="s">
        <v>21</v>
      </c>
      <c r="M4" t="s">
        <v>40</v>
      </c>
      <c r="O4" t="s">
        <v>13</v>
      </c>
      <c r="P4" t="s">
        <v>6</v>
      </c>
      <c r="Q4" s="6" t="s">
        <v>4</v>
      </c>
      <c r="S4" s="7" t="s">
        <v>1</v>
      </c>
    </row>
    <row r="5" spans="1:21">
      <c r="A5" s="2" t="s">
        <v>10</v>
      </c>
      <c r="B5" t="s">
        <v>39</v>
      </c>
      <c r="C5" t="s">
        <v>34</v>
      </c>
      <c r="D5" s="14">
        <v>0.2</v>
      </c>
      <c r="E5" s="14"/>
      <c r="F5" s="14" cm="1">
        <f t="array" ref="F5">_xlfn.IFS(ISBLANK(A5), "",B5="Sugar Cane", VLOOKUP(C5, $T$48:$U$50, 2, FALSE),_xlfn.IFNA(MATCH(B5, $S$43:$S$47, 0), FALSE), VLOOKUP(B5, $S$43:$U$47, 3, FALSE), TRUE, VLOOKUP(C5, $T$51:$U$53, 2, FALSE))</f>
        <v>0</v>
      </c>
      <c r="G5" s="14">
        <v>1000</v>
      </c>
      <c r="H5" s="14">
        <f t="shared" ref="H5:H14" si="0">IF(ISBLANK($A5), "", VLOOKUP($B5, $S$22:$AA$39, 2, FALSE))</f>
        <v>0.25</v>
      </c>
      <c r="I5" s="14">
        <f t="shared" ref="I5:I14" si="1">IF(ISBLANK($A5), "", VLOOKUP($B5, $S$22:$AA$39, 3, FALSE))</f>
        <v>0.45</v>
      </c>
      <c r="J5" s="14">
        <f t="shared" ref="J5:J14" si="2">IF(ISBLANK($A5), "", VLOOKUP($B5, $S$22:$AA$39, 4, FALSE))</f>
        <v>0.2</v>
      </c>
      <c r="K5" s="14">
        <f t="shared" ref="K5:K14" si="3">IF(ISBLANK($A5), "", VLOOKUP($B5, $S$22:$AA$39, 6, FALSE))</f>
        <v>5.0000000000000001E-3</v>
      </c>
      <c r="L5" s="14">
        <f>IF(K5="n/a",0,K5)</f>
        <v>5.0000000000000001E-3</v>
      </c>
      <c r="M5" s="14">
        <f t="shared" ref="M5:M20" si="4">IF(ISBLANK($A5), "", VLOOKUP($B5, $S$22:$AA$39, 7, FALSE))</f>
        <v>7.0000000000000001E-3</v>
      </c>
      <c r="N5" s="14">
        <f>IF(M5="n/a",0,M5)</f>
        <v>7.0000000000000001E-3</v>
      </c>
      <c r="O5">
        <f t="shared" ref="O5:O14" si="5">IF(ISBLANK(A5),"", (G5*H5*(1 - D5 - F5) * J5*L5)+(G5*H5*I5*J5*N5))</f>
        <v>0.35750000000000004</v>
      </c>
      <c r="P5">
        <f t="shared" ref="P5:P14" si="6">IF(ISBLANK(A5),"",VLOOKUP(A5,$S$14:$T$30,2,FALSE))</f>
        <v>6.0000000000000001E-3</v>
      </c>
      <c r="Q5">
        <f t="shared" ref="Q5:Q14" si="7">IF(ISBLANK(A5), "", O5*P5*$T$10/1000)</f>
        <v>3.3676500000000003E-6</v>
      </c>
    </row>
    <row r="6" spans="1:21">
      <c r="A6" s="2" t="s">
        <v>11</v>
      </c>
      <c r="B6" t="s">
        <v>39</v>
      </c>
      <c r="C6" t="s">
        <v>34</v>
      </c>
      <c r="D6">
        <v>0.2</v>
      </c>
      <c r="F6" cm="1">
        <f t="array" ref="F6">_xlfn.IFS(ISBLANK(A6), "",B6="Sugar Cane", VLOOKUP(C6, $T$48:$U$50, 2, FALSE),_xlfn.IFNA(MATCH(B6, $S$43:$S$47, 0), FALSE), VLOOKUP(B6, $S$43:$U$47, 3, FALSE), TRUE, VLOOKUP(C6, $T$51:$U$53, 2, FALSE))</f>
        <v>0</v>
      </c>
      <c r="G6" s="14">
        <v>1100</v>
      </c>
      <c r="H6" s="14">
        <f t="shared" si="0"/>
        <v>0.25</v>
      </c>
      <c r="I6" s="14">
        <f t="shared" si="1"/>
        <v>0.45</v>
      </c>
      <c r="J6" s="14">
        <f t="shared" si="2"/>
        <v>0.2</v>
      </c>
      <c r="K6" s="14">
        <f t="shared" si="3"/>
        <v>5.0000000000000001E-3</v>
      </c>
      <c r="L6" s="14">
        <f t="shared" ref="L6:L20" si="8">IF(K6="n/a",0,K6)</f>
        <v>5.0000000000000001E-3</v>
      </c>
      <c r="M6" s="14">
        <f t="shared" si="4"/>
        <v>7.0000000000000001E-3</v>
      </c>
      <c r="N6">
        <f t="shared" ref="N6:N20" si="9">IF(M6="n/a",0,M6)</f>
        <v>7.0000000000000001E-3</v>
      </c>
      <c r="O6">
        <f t="shared" si="5"/>
        <v>0.39324999999999999</v>
      </c>
      <c r="P6">
        <f t="shared" si="6"/>
        <v>5.0000000000000001E-3</v>
      </c>
      <c r="Q6">
        <f t="shared" si="7"/>
        <v>3.0870125000000003E-6</v>
      </c>
    </row>
    <row r="7" spans="1:21">
      <c r="A7" s="2" t="s">
        <v>10</v>
      </c>
      <c r="B7" s="2" t="s">
        <v>31</v>
      </c>
      <c r="C7" s="2" t="s">
        <v>34</v>
      </c>
      <c r="D7">
        <v>0.2</v>
      </c>
      <c r="F7" cm="1">
        <f t="array" ref="F7">_xlfn.IFS(ISBLANK(A7), "",B7="Sugar Cane", VLOOKUP(C7, $T$48:$U$50, 2, FALSE),_xlfn.IFNA(MATCH(B7, $S$43:$S$47, 0), FALSE), VLOOKUP(B7, $S$43:$U$47, 3, FALSE), TRUE, VLOOKUP(C7, $T$51:$U$53, 2, FALSE))</f>
        <v>0.06</v>
      </c>
      <c r="G7" s="14">
        <v>1200</v>
      </c>
      <c r="H7" s="14">
        <f t="shared" si="0"/>
        <v>1.31</v>
      </c>
      <c r="I7" s="14">
        <f t="shared" si="1"/>
        <v>0.16</v>
      </c>
      <c r="J7" s="14">
        <f t="shared" si="2"/>
        <v>0.8</v>
      </c>
      <c r="K7" s="14">
        <f t="shared" si="3"/>
        <v>7.0000000000000001E-3</v>
      </c>
      <c r="L7" s="14">
        <f t="shared" si="8"/>
        <v>7.0000000000000001E-3</v>
      </c>
      <c r="M7" s="14">
        <f t="shared" si="4"/>
        <v>0.01</v>
      </c>
      <c r="N7">
        <f t="shared" si="9"/>
        <v>0.01</v>
      </c>
      <c r="O7">
        <f t="shared" si="5"/>
        <v>8.5265280000000008</v>
      </c>
      <c r="P7">
        <f t="shared" si="6"/>
        <v>6.0000000000000001E-3</v>
      </c>
      <c r="Q7">
        <f t="shared" si="7"/>
        <v>8.0319893760000011E-5</v>
      </c>
    </row>
    <row r="8" spans="1:21">
      <c r="A8" s="2" t="s">
        <v>10</v>
      </c>
      <c r="B8" s="2" t="s">
        <v>31</v>
      </c>
      <c r="C8" s="2" t="s">
        <v>37</v>
      </c>
      <c r="D8">
        <v>0.2</v>
      </c>
      <c r="F8" cm="1">
        <f t="array" ref="F8">_xlfn.IFS(ISBLANK(A8), "",B8="Sugar Cane", VLOOKUP(C8, $T$48:$U$50, 2, FALSE),_xlfn.IFNA(MATCH(B8, $S$43:$S$47, 0), FALSE), VLOOKUP(B8, $S$43:$U$47, 3, FALSE), TRUE, VLOOKUP(C8, $T$51:$U$53, 2, FALSE))</f>
        <v>0.06</v>
      </c>
      <c r="G8" s="14">
        <v>1300</v>
      </c>
      <c r="H8" s="14">
        <f t="shared" si="0"/>
        <v>1.31</v>
      </c>
      <c r="I8" s="14">
        <f t="shared" si="1"/>
        <v>0.16</v>
      </c>
      <c r="J8" s="14">
        <f t="shared" si="2"/>
        <v>0.8</v>
      </c>
      <c r="K8" s="14">
        <f t="shared" si="3"/>
        <v>7.0000000000000001E-3</v>
      </c>
      <c r="L8" s="14">
        <f t="shared" si="8"/>
        <v>7.0000000000000001E-3</v>
      </c>
      <c r="M8" s="14">
        <f t="shared" si="4"/>
        <v>0.01</v>
      </c>
      <c r="N8">
        <f t="shared" si="9"/>
        <v>0.01</v>
      </c>
      <c r="O8">
        <f t="shared" si="5"/>
        <v>9.2370720000000013</v>
      </c>
      <c r="P8">
        <f t="shared" si="6"/>
        <v>6.0000000000000001E-3</v>
      </c>
      <c r="Q8">
        <f t="shared" si="7"/>
        <v>8.7013218240000008E-5</v>
      </c>
      <c r="S8" s="2"/>
      <c r="T8" s="2"/>
    </row>
    <row r="9" spans="1:21">
      <c r="A9" s="2" t="s">
        <v>10</v>
      </c>
      <c r="B9" s="2" t="s">
        <v>62</v>
      </c>
      <c r="C9" s="2" t="s">
        <v>35</v>
      </c>
      <c r="D9">
        <v>0.2</v>
      </c>
      <c r="F9" cm="1">
        <f t="array" ref="F9">_xlfn.IFS(ISBLANK(A9), "",B9="Sugar Cane", VLOOKUP(C9, $T$48:$U$50, 2, FALSE),_xlfn.IFNA(MATCH(B9, $S$43:$S$47, 0), FALSE), VLOOKUP(B9, $S$43:$U$47, 3, FALSE), TRUE, VLOOKUP(C9, $T$51:$U$53, 2, FALSE))</f>
        <v>1</v>
      </c>
      <c r="G9" s="14">
        <v>1400</v>
      </c>
      <c r="H9" s="14">
        <f t="shared" si="0"/>
        <v>0.34</v>
      </c>
      <c r="I9" s="14">
        <f t="shared" si="1"/>
        <v>0.43</v>
      </c>
      <c r="J9" s="14">
        <f t="shared" si="2"/>
        <v>0.25</v>
      </c>
      <c r="K9" s="14">
        <f t="shared" si="3"/>
        <v>0.02</v>
      </c>
      <c r="L9" s="14">
        <f t="shared" si="8"/>
        <v>0.02</v>
      </c>
      <c r="M9" s="14">
        <f t="shared" si="4"/>
        <v>0.01</v>
      </c>
      <c r="N9">
        <f t="shared" si="9"/>
        <v>0.01</v>
      </c>
      <c r="O9">
        <f t="shared" si="5"/>
        <v>3.5700000000000065E-2</v>
      </c>
      <c r="P9">
        <f t="shared" si="6"/>
        <v>6.0000000000000001E-3</v>
      </c>
      <c r="Q9">
        <f t="shared" si="7"/>
        <v>3.3629400000000059E-7</v>
      </c>
      <c r="S9" s="2"/>
      <c r="T9" s="2"/>
    </row>
    <row r="10" spans="1:21">
      <c r="A10" s="2" t="s">
        <v>10</v>
      </c>
      <c r="B10" s="2" t="s">
        <v>62</v>
      </c>
      <c r="C10" s="2" t="s">
        <v>36</v>
      </c>
      <c r="D10">
        <v>0.3</v>
      </c>
      <c r="F10" cm="1">
        <f t="array" ref="F10">_xlfn.IFS(ISBLANK(A10), "",B10="Sugar Cane", VLOOKUP(C10, $T$48:$U$50, 2, FALSE),_xlfn.IFNA(MATCH(B10, $S$43:$S$47, 0), FALSE), VLOOKUP(B10, $S$43:$U$47, 3, FALSE), TRUE, VLOOKUP(C10, $T$51:$U$53, 2, FALSE))</f>
        <v>1</v>
      </c>
      <c r="G10" s="14">
        <v>1500</v>
      </c>
      <c r="H10" s="14">
        <f t="shared" si="0"/>
        <v>0.34</v>
      </c>
      <c r="I10" s="14">
        <f t="shared" si="1"/>
        <v>0.43</v>
      </c>
      <c r="J10" s="14">
        <f t="shared" si="2"/>
        <v>0.25</v>
      </c>
      <c r="K10" s="14">
        <f t="shared" si="3"/>
        <v>0.02</v>
      </c>
      <c r="L10" s="14">
        <f t="shared" si="8"/>
        <v>0.02</v>
      </c>
      <c r="M10" s="14">
        <f t="shared" si="4"/>
        <v>0.01</v>
      </c>
      <c r="N10">
        <f t="shared" si="9"/>
        <v>0.01</v>
      </c>
      <c r="O10">
        <f t="shared" si="5"/>
        <v>-0.21675000000000011</v>
      </c>
      <c r="P10">
        <f t="shared" si="6"/>
        <v>6.0000000000000001E-3</v>
      </c>
      <c r="Q10">
        <f t="shared" si="7"/>
        <v>-2.0417850000000012E-6</v>
      </c>
      <c r="S10" t="s">
        <v>2</v>
      </c>
      <c r="T10">
        <f>[1]!common_cn2o</f>
        <v>1.57</v>
      </c>
    </row>
    <row r="11" spans="1:21">
      <c r="A11" s="2" t="s">
        <v>10</v>
      </c>
      <c r="B11" s="2" t="s">
        <v>3</v>
      </c>
      <c r="C11" s="2" t="s">
        <v>57</v>
      </c>
      <c r="D11">
        <v>0.3</v>
      </c>
      <c r="F11" cm="1">
        <f t="array" ref="F11">_xlfn.IFS(ISBLANK(A11), "",B11="Sugar Cane", VLOOKUP(C11, $T$48:$U$50, 2, FALSE),_xlfn.IFNA(MATCH(B11, $S$43:$S$47, 0), FALSE), VLOOKUP(B11, $S$43:$U$47, 3, FALSE), TRUE, VLOOKUP(C11, $T$51:$U$53, 2, FALSE))</f>
        <v>0</v>
      </c>
      <c r="G11" s="14">
        <v>1600</v>
      </c>
      <c r="H11" s="14">
        <f t="shared" si="0"/>
        <v>1.9</v>
      </c>
      <c r="I11" s="14">
        <f t="shared" si="1"/>
        <v>0.3</v>
      </c>
      <c r="J11" s="14">
        <f t="shared" si="2"/>
        <v>0.9</v>
      </c>
      <c r="K11" s="14">
        <f t="shared" si="3"/>
        <v>0.01</v>
      </c>
      <c r="L11" s="14">
        <f t="shared" si="8"/>
        <v>0.01</v>
      </c>
      <c r="M11" s="14">
        <f t="shared" si="4"/>
        <v>0.01</v>
      </c>
      <c r="N11">
        <f t="shared" si="9"/>
        <v>0.01</v>
      </c>
      <c r="O11">
        <f t="shared" si="5"/>
        <v>27.36</v>
      </c>
      <c r="P11">
        <f t="shared" si="6"/>
        <v>6.0000000000000001E-3</v>
      </c>
      <c r="Q11">
        <f t="shared" si="7"/>
        <v>2.5773119999999999E-4</v>
      </c>
      <c r="S11" s="2"/>
      <c r="T11" s="2"/>
    </row>
    <row r="12" spans="1:21">
      <c r="A12" s="2" t="s">
        <v>10</v>
      </c>
      <c r="B12" s="2" t="s">
        <v>52</v>
      </c>
      <c r="C12" s="2" t="s">
        <v>37</v>
      </c>
      <c r="D12">
        <v>0.3</v>
      </c>
      <c r="F12" cm="1">
        <f t="array" ref="F12">_xlfn.IFS(ISBLANK(A12), "",B12="Sugar Cane", VLOOKUP(C12, $T$48:$U$50, 2, FALSE),_xlfn.IFNA(MATCH(B12, $S$43:$S$47, 0), FALSE), VLOOKUP(B12, $S$43:$U$47, 3, FALSE), TRUE, VLOOKUP(C12, $T$51:$U$53, 2, FALSE))</f>
        <v>0</v>
      </c>
      <c r="G12" s="14">
        <v>1700</v>
      </c>
      <c r="H12" s="14">
        <f t="shared" si="0"/>
        <v>1.5</v>
      </c>
      <c r="I12" s="14">
        <f t="shared" si="1"/>
        <v>0.28999999999999998</v>
      </c>
      <c r="J12" s="14">
        <f t="shared" si="2"/>
        <v>0.88</v>
      </c>
      <c r="K12" s="14">
        <f t="shared" si="3"/>
        <v>6.0000000000000001E-3</v>
      </c>
      <c r="L12" s="14">
        <f t="shared" si="8"/>
        <v>6.0000000000000001E-3</v>
      </c>
      <c r="M12" s="14" t="str">
        <f t="shared" si="4"/>
        <v>n/a</v>
      </c>
      <c r="N12">
        <f t="shared" si="9"/>
        <v>0</v>
      </c>
      <c r="O12">
        <f t="shared" si="5"/>
        <v>9.4247999999999994</v>
      </c>
      <c r="P12">
        <f t="shared" si="6"/>
        <v>6.0000000000000001E-3</v>
      </c>
      <c r="Q12">
        <f t="shared" si="7"/>
        <v>8.8781615999999994E-5</v>
      </c>
      <c r="S12" s="2" t="s">
        <v>6</v>
      </c>
      <c r="T12" s="2"/>
    </row>
    <row r="13" spans="1:21">
      <c r="A13" s="2" t="s">
        <v>10</v>
      </c>
      <c r="B13" s="2" t="s">
        <v>63</v>
      </c>
      <c r="C13" s="2" t="s">
        <v>35</v>
      </c>
      <c r="D13">
        <v>0.3</v>
      </c>
      <c r="F13" cm="1">
        <f t="array" ref="F13">_xlfn.IFS(ISBLANK(A13), "",B13="Sugar Cane", VLOOKUP(C13, $T$48:$U$50, 2, FALSE),_xlfn.IFNA(MATCH(B13, $S$43:$S$47, 0), FALSE), VLOOKUP(B13, $S$43:$U$47, 3, FALSE), TRUE, VLOOKUP(C13, $T$51:$U$53, 2, FALSE))</f>
        <v>0.8</v>
      </c>
      <c r="G13" s="14">
        <v>1800</v>
      </c>
      <c r="H13" s="14">
        <f t="shared" si="0"/>
        <v>1.34</v>
      </c>
      <c r="I13" s="14">
        <f t="shared" si="1"/>
        <v>0.37</v>
      </c>
      <c r="J13" s="14">
        <f t="shared" si="2"/>
        <v>0.88</v>
      </c>
      <c r="K13" s="14">
        <f t="shared" si="3"/>
        <v>6.0000000000000001E-3</v>
      </c>
      <c r="L13" s="14">
        <f t="shared" si="8"/>
        <v>6.0000000000000001E-3</v>
      </c>
      <c r="M13" s="14">
        <f t="shared" si="4"/>
        <v>0.01</v>
      </c>
      <c r="N13">
        <f t="shared" si="9"/>
        <v>0.01</v>
      </c>
      <c r="O13">
        <f t="shared" si="5"/>
        <v>6.5799359999999982</v>
      </c>
      <c r="P13">
        <f t="shared" si="6"/>
        <v>6.0000000000000001E-3</v>
      </c>
      <c r="Q13">
        <f t="shared" si="7"/>
        <v>6.1982997119999989E-5</v>
      </c>
      <c r="S13" t="s">
        <v>7</v>
      </c>
    </row>
    <row r="14" spans="1:21">
      <c r="A14" s="2" t="s">
        <v>10</v>
      </c>
      <c r="B14" s="2" t="s">
        <v>50</v>
      </c>
      <c r="C14" s="13" t="s">
        <v>37</v>
      </c>
      <c r="D14">
        <v>0.3</v>
      </c>
      <c r="F14" cm="1">
        <f t="array" ref="F14">_xlfn.IFS(ISBLANK(A14), "",B14="Sugar Cane", VLOOKUP(C14, $T$48:$U$50, 2, FALSE),_xlfn.IFNA(MATCH(B14, $S$43:$S$47, 0), FALSE), VLOOKUP(B14, $S$43:$U$47, 3, FALSE), TRUE, VLOOKUP(C14, $T$51:$U$53, 2, FALSE))</f>
        <v>7.0000000000000007E-2</v>
      </c>
      <c r="G14" s="14">
        <v>1900</v>
      </c>
      <c r="H14" s="14">
        <f t="shared" si="0"/>
        <v>1.37</v>
      </c>
      <c r="I14" s="14">
        <f t="shared" si="1"/>
        <v>0.51</v>
      </c>
      <c r="J14" s="14">
        <f t="shared" si="2"/>
        <v>0.87</v>
      </c>
      <c r="K14" s="14">
        <f t="shared" si="3"/>
        <v>8.9999999999999993E-3</v>
      </c>
      <c r="L14" s="14">
        <f t="shared" si="8"/>
        <v>8.9999999999999993E-3</v>
      </c>
      <c r="M14" s="14">
        <f t="shared" si="4"/>
        <v>0.01</v>
      </c>
      <c r="N14">
        <f t="shared" si="9"/>
        <v>0.01</v>
      </c>
      <c r="O14">
        <f t="shared" si="5"/>
        <v>24.389849699999999</v>
      </c>
      <c r="P14">
        <f t="shared" si="6"/>
        <v>6.0000000000000001E-3</v>
      </c>
      <c r="Q14">
        <f t="shared" si="7"/>
        <v>2.2975238417399999E-4</v>
      </c>
      <c r="S14" s="2" t="s">
        <v>10</v>
      </c>
      <c r="T14" s="2">
        <v>6.0000000000000001E-3</v>
      </c>
      <c r="U14" s="9" t="s">
        <v>8</v>
      </c>
    </row>
    <row r="15" spans="1:21">
      <c r="A15" s="2"/>
      <c r="B15" s="2"/>
      <c r="C15" s="13"/>
      <c r="G15" s="14"/>
      <c r="H15" s="14"/>
      <c r="I15" s="14"/>
      <c r="J15" s="14"/>
      <c r="K15" s="14"/>
      <c r="L15" s="14"/>
      <c r="M15" s="14" t="str">
        <f t="shared" si="4"/>
        <v/>
      </c>
      <c r="S15" s="2" t="s">
        <v>11</v>
      </c>
      <c r="T15" s="2">
        <v>5.0000000000000001E-3</v>
      </c>
      <c r="U15" s="9" t="s">
        <v>9</v>
      </c>
    </row>
    <row r="16" spans="1:21">
      <c r="A16" s="2"/>
      <c r="B16" s="2"/>
      <c r="C16" s="13"/>
      <c r="F16" s="5" t="s">
        <v>70</v>
      </c>
      <c r="G16" s="14"/>
      <c r="H16" s="14"/>
      <c r="I16" s="14"/>
      <c r="J16" s="14"/>
      <c r="K16" s="14"/>
      <c r="L16" s="14"/>
      <c r="M16" s="14" t="str">
        <f t="shared" si="4"/>
        <v/>
      </c>
      <c r="S16" s="2"/>
      <c r="T16" s="2"/>
      <c r="U16" s="9"/>
    </row>
    <row r="17" spans="1:27">
      <c r="A17" s="2" t="s">
        <v>10</v>
      </c>
      <c r="B17" s="2" t="s">
        <v>31</v>
      </c>
      <c r="C17" s="13" t="s">
        <v>60</v>
      </c>
      <c r="D17">
        <v>0.3</v>
      </c>
      <c r="E17">
        <v>300</v>
      </c>
      <c r="F17" s="5">
        <f>E17/(G17*H17)</f>
        <v>0.1040943789035392</v>
      </c>
      <c r="G17" s="14">
        <v>2200</v>
      </c>
      <c r="H17" s="14">
        <f>IF(ISBLANK($A17), "", VLOOKUP($B17, $S$22:$AA$39, 2, FALSE))</f>
        <v>1.31</v>
      </c>
      <c r="I17" s="14">
        <f>IF(ISBLANK($A17), "", VLOOKUP($B17, $S$22:$AA$39, 3, FALSE))</f>
        <v>0.16</v>
      </c>
      <c r="J17" s="14">
        <f>IF(ISBLANK($A17), "", VLOOKUP($B17, $S$22:$AA$39, 4, FALSE))</f>
        <v>0.8</v>
      </c>
      <c r="K17" s="14">
        <f>IF(ISBLANK($A17), "", VLOOKUP($B17, $S$22:$AA$39, 6, FALSE))</f>
        <v>7.0000000000000001E-3</v>
      </c>
      <c r="L17" s="14">
        <f t="shared" si="8"/>
        <v>7.0000000000000001E-3</v>
      </c>
      <c r="M17" s="14">
        <f t="shared" si="4"/>
        <v>0.01</v>
      </c>
      <c r="N17">
        <f t="shared" si="9"/>
        <v>0.01</v>
      </c>
      <c r="O17">
        <f>IF(ISBLANK(A17),"", (G17*H17*(1 - D17 - F17) * J17*L17)+(G17*H17*I17*J17*N17))</f>
        <v>13.3064</v>
      </c>
      <c r="P17">
        <f>IF(ISBLANK(A17),"",VLOOKUP(A17,$S$14:$T$30,2,FALSE))</f>
        <v>6.0000000000000001E-3</v>
      </c>
      <c r="Q17">
        <f>IF(ISBLANK(A17), "", O17*P17*$T$10/1000)</f>
        <v>1.2534628799999999E-4</v>
      </c>
    </row>
    <row r="18" spans="1:27">
      <c r="A18" s="2" t="s">
        <v>10</v>
      </c>
      <c r="B18" s="2" t="s">
        <v>50</v>
      </c>
      <c r="C18" s="13" t="s">
        <v>37</v>
      </c>
      <c r="D18">
        <v>0.3</v>
      </c>
      <c r="E18">
        <v>350</v>
      </c>
      <c r="F18" s="5">
        <f t="shared" ref="F18:F20" si="10">E18/(G18*H18)</f>
        <v>0.11107584893684543</v>
      </c>
      <c r="G18" s="14">
        <v>2300</v>
      </c>
      <c r="H18" s="14">
        <f>IF(ISBLANK($A18), "", VLOOKUP($B18, $S$22:$AA$39, 2, FALSE))</f>
        <v>1.37</v>
      </c>
      <c r="I18" s="14">
        <f>IF(ISBLANK($A18), "", VLOOKUP($B18, $S$22:$AA$39, 3, FALSE))</f>
        <v>0.51</v>
      </c>
      <c r="J18" s="14">
        <f>IF(ISBLANK($A18), "", VLOOKUP($B18, $S$22:$AA$39, 4, FALSE))</f>
        <v>0.87</v>
      </c>
      <c r="K18" s="14">
        <f>IF(ISBLANK($A18), "", VLOOKUP($B18, $S$22:$AA$39, 6, FALSE))</f>
        <v>8.9999999999999993E-3</v>
      </c>
      <c r="L18" s="14">
        <f t="shared" si="8"/>
        <v>8.9999999999999993E-3</v>
      </c>
      <c r="M18" s="14">
        <f t="shared" si="4"/>
        <v>0.01</v>
      </c>
      <c r="N18">
        <f t="shared" si="9"/>
        <v>0.01</v>
      </c>
      <c r="O18">
        <f>IF(ISBLANK(A18),"", (G18*H18*(1 - D18 - F18) * J18*L18)+(G18*H18*I18*J18*N18))</f>
        <v>28.511118000000003</v>
      </c>
      <c r="P18">
        <f>IF(ISBLANK(A18),"",VLOOKUP(A18,$S$14:$T$30,2,FALSE))</f>
        <v>6.0000000000000001E-3</v>
      </c>
      <c r="Q18">
        <f>IF(ISBLANK(A18), "", O18*P18*$T$10/1000)</f>
        <v>2.6857473156000002E-4</v>
      </c>
      <c r="S18" s="2"/>
      <c r="T18" s="2"/>
    </row>
    <row r="19" spans="1:27">
      <c r="A19" s="2" t="s">
        <v>10</v>
      </c>
      <c r="B19" s="2" t="s">
        <v>52</v>
      </c>
      <c r="C19" s="13" t="s">
        <v>37</v>
      </c>
      <c r="D19">
        <v>0.3</v>
      </c>
      <c r="E19">
        <v>400</v>
      </c>
      <c r="F19" s="5">
        <f t="shared" si="10"/>
        <v>0.1111111111111111</v>
      </c>
      <c r="G19" s="14">
        <v>2400</v>
      </c>
      <c r="H19" s="14">
        <f>IF(ISBLANK($A19), "", VLOOKUP($B19, $S$22:$AA$39, 2, FALSE))</f>
        <v>1.5</v>
      </c>
      <c r="I19" s="14">
        <f>IF(ISBLANK($A19), "", VLOOKUP($B19, $S$22:$AA$39, 3, FALSE))</f>
        <v>0.28999999999999998</v>
      </c>
      <c r="J19" s="14">
        <f>IF(ISBLANK($A19), "", VLOOKUP($B19, $S$22:$AA$39, 4, FALSE))</f>
        <v>0.88</v>
      </c>
      <c r="K19" s="14">
        <f>IF(ISBLANK($A19), "", VLOOKUP($B19, $S$22:$AA$39, 6, FALSE))</f>
        <v>6.0000000000000001E-3</v>
      </c>
      <c r="L19" s="14">
        <f t="shared" si="8"/>
        <v>6.0000000000000001E-3</v>
      </c>
      <c r="M19" s="14" t="str">
        <f t="shared" si="4"/>
        <v>n/a</v>
      </c>
      <c r="N19">
        <f t="shared" si="9"/>
        <v>0</v>
      </c>
      <c r="O19">
        <f>IF(ISBLANK(A19),"", (G19*H19*(1 - D19 - F19) * J19*L19)+(G19*H19*I19*J19*N19))</f>
        <v>11.193599999999998</v>
      </c>
      <c r="P19">
        <f>IF(ISBLANK(A19),"",VLOOKUP(A19,$S$14:$T$30,2,FALSE))</f>
        <v>6.0000000000000001E-3</v>
      </c>
      <c r="Q19">
        <f>IF(ISBLANK(A19), "", O19*P19*$T$10/1000)</f>
        <v>1.0544371199999999E-4</v>
      </c>
      <c r="S19" s="2"/>
      <c r="T19" s="2"/>
    </row>
    <row r="20" spans="1:27">
      <c r="A20" s="2" t="s">
        <v>10</v>
      </c>
      <c r="B20" s="2" t="s">
        <v>69</v>
      </c>
      <c r="C20" s="13" t="s">
        <v>34</v>
      </c>
      <c r="D20">
        <v>0.3</v>
      </c>
      <c r="E20">
        <v>5</v>
      </c>
      <c r="F20" s="5">
        <f t="shared" si="10"/>
        <v>2E-3</v>
      </c>
      <c r="G20" s="14">
        <v>2500</v>
      </c>
      <c r="H20" s="14">
        <f>IF(ISBLANK($A20), "", VLOOKUP($B20, $S$22:$AA$39, 2, FALSE))</f>
        <v>1</v>
      </c>
      <c r="I20" s="14">
        <f>IF(ISBLANK($A20), "", VLOOKUP($B20, $S$22:$AA$39, 3, FALSE))</f>
        <v>0.22</v>
      </c>
      <c r="J20" s="14">
        <f>IF(ISBLANK($A20), "", VLOOKUP($B20, $S$22:$AA$39, 4, FALSE))</f>
        <v>0.85</v>
      </c>
      <c r="K20" s="14">
        <f>IF(ISBLANK($A20), "", VLOOKUP($B20, $S$22:$AA$39, 6, FALSE))</f>
        <v>8.0000000000000002E-3</v>
      </c>
      <c r="L20" s="14">
        <f t="shared" si="8"/>
        <v>8.0000000000000002E-3</v>
      </c>
      <c r="M20" s="14">
        <f t="shared" si="4"/>
        <v>8.9999999999999993E-3</v>
      </c>
      <c r="N20">
        <f t="shared" si="9"/>
        <v>8.9999999999999993E-3</v>
      </c>
      <c r="O20">
        <f>IF(ISBLANK(A20),"", (G20*H20*(1 - D20 - F20) * J20*L20)+(G20*H20*I20*J20*N20))</f>
        <v>16.073499999999996</v>
      </c>
      <c r="P20">
        <f>IF(ISBLANK(A20),"",VLOOKUP(A20,$S$14:$T$30,2,FALSE))</f>
        <v>6.0000000000000001E-3</v>
      </c>
      <c r="Q20">
        <f>IF(ISBLANK(A20), "", O20*P20*$T$10/1000)</f>
        <v>1.5141236999999995E-4</v>
      </c>
      <c r="S20" s="2" t="s">
        <v>15</v>
      </c>
      <c r="T20" s="2"/>
    </row>
    <row r="21" spans="1:27" ht="17">
      <c r="S21" s="2"/>
      <c r="T21" s="2" t="s">
        <v>17</v>
      </c>
      <c r="U21" t="s">
        <v>18</v>
      </c>
      <c r="V21" t="s">
        <v>19</v>
      </c>
      <c r="W21" s="8" t="s">
        <v>20</v>
      </c>
      <c r="X21" t="s">
        <v>21</v>
      </c>
      <c r="Y21" t="s">
        <v>22</v>
      </c>
      <c r="Z21" t="s">
        <v>23</v>
      </c>
      <c r="AA21" t="s">
        <v>24</v>
      </c>
    </row>
    <row r="22" spans="1:27">
      <c r="S22" s="2" t="s">
        <v>43</v>
      </c>
      <c r="T22" s="12">
        <v>1.5</v>
      </c>
      <c r="U22" s="11">
        <v>0.28999999999999998</v>
      </c>
      <c r="V22" s="11">
        <v>0.88</v>
      </c>
      <c r="W22" s="11">
        <v>0.4</v>
      </c>
      <c r="X22" s="11">
        <v>6.0000000000000001E-3</v>
      </c>
      <c r="Y22" s="11">
        <v>0.01</v>
      </c>
      <c r="Z22" s="11">
        <v>0.5</v>
      </c>
      <c r="AA22" s="11">
        <v>0.9</v>
      </c>
    </row>
    <row r="23" spans="1:27">
      <c r="B23" s="2"/>
      <c r="C23" s="2"/>
      <c r="M23" s="14"/>
      <c r="S23" s="2" t="s">
        <v>44</v>
      </c>
      <c r="T23" s="12">
        <v>1.24</v>
      </c>
      <c r="U23" s="11">
        <v>0.32</v>
      </c>
      <c r="V23" s="11">
        <v>0.88</v>
      </c>
      <c r="W23" s="11">
        <v>0.4</v>
      </c>
      <c r="X23" s="11">
        <v>7.0000000000000001E-3</v>
      </c>
      <c r="Y23" s="11">
        <v>0.01</v>
      </c>
      <c r="Z23" s="11">
        <v>0.5</v>
      </c>
      <c r="AA23" s="11">
        <v>0.85</v>
      </c>
    </row>
    <row r="24" spans="1:27">
      <c r="B24" s="2"/>
      <c r="C24" s="2"/>
      <c r="S24" s="2" t="s">
        <v>45</v>
      </c>
      <c r="T24" s="12">
        <v>0.81</v>
      </c>
      <c r="U24" s="11">
        <v>0.39</v>
      </c>
      <c r="V24" s="11">
        <v>0.85</v>
      </c>
      <c r="W24" s="11">
        <v>0.42</v>
      </c>
      <c r="X24" s="11">
        <v>5.0000000000000001E-3</v>
      </c>
      <c r="Y24" s="11">
        <v>7.0000000000000001E-3</v>
      </c>
      <c r="Z24" s="11">
        <v>1</v>
      </c>
      <c r="AA24" s="11">
        <v>0.8</v>
      </c>
    </row>
    <row r="25" spans="1:27">
      <c r="O25" t="e">
        <f>IF(ISBLANK(#REF!), "", H25/#REF!)</f>
        <v>#REF!</v>
      </c>
      <c r="S25" s="2" t="s">
        <v>46</v>
      </c>
      <c r="T25" s="12">
        <v>1.42</v>
      </c>
      <c r="U25" s="11">
        <v>0.43</v>
      </c>
      <c r="V25" s="11">
        <v>0.88</v>
      </c>
      <c r="W25" s="11">
        <v>0.4</v>
      </c>
      <c r="X25" s="11">
        <v>6.0000000000000001E-3</v>
      </c>
      <c r="Y25" s="11">
        <v>0.01</v>
      </c>
      <c r="Z25" s="11">
        <v>0.5</v>
      </c>
      <c r="AA25" s="11">
        <v>0.85</v>
      </c>
    </row>
    <row r="26" spans="1:27">
      <c r="O26" t="e">
        <f>IF(ISBLANK(#REF!), "", H26/#REF!)</f>
        <v>#REF!</v>
      </c>
      <c r="S26" s="2" t="s">
        <v>31</v>
      </c>
      <c r="T26" s="12">
        <v>1.31</v>
      </c>
      <c r="U26" s="11">
        <v>0.16</v>
      </c>
      <c r="V26" s="11">
        <v>0.8</v>
      </c>
      <c r="W26" s="11">
        <v>0.42</v>
      </c>
      <c r="X26" s="11">
        <v>7.0000000000000001E-3</v>
      </c>
      <c r="Y26" s="11">
        <v>0.01</v>
      </c>
      <c r="Z26" s="11">
        <v>1</v>
      </c>
      <c r="AA26" s="11">
        <v>0.8</v>
      </c>
    </row>
    <row r="27" spans="1:27">
      <c r="O27" t="e">
        <f>IF(ISBLANK(#REF!), "", H27/#REF!)</f>
        <v>#REF!</v>
      </c>
      <c r="S27" s="2" t="s">
        <v>47</v>
      </c>
      <c r="T27" s="12">
        <v>1.5</v>
      </c>
      <c r="U27" s="11">
        <v>0.22</v>
      </c>
      <c r="V27" s="11">
        <v>0.8</v>
      </c>
      <c r="W27" s="11">
        <v>0.4</v>
      </c>
      <c r="X27" s="11">
        <v>8.0000000000000002E-3</v>
      </c>
      <c r="Y27" s="11">
        <v>7.0000000000000001E-3</v>
      </c>
      <c r="Z27" s="11">
        <v>0.5</v>
      </c>
      <c r="AA27" s="11">
        <v>0.85</v>
      </c>
    </row>
    <row r="28" spans="1:27">
      <c r="O28" t="e">
        <f>IF(ISBLANK(#REF!), "", H28/#REF!)</f>
        <v>#REF!</v>
      </c>
      <c r="S28" s="2" t="s">
        <v>48</v>
      </c>
      <c r="T28" s="12">
        <v>1.5</v>
      </c>
      <c r="U28" s="11">
        <v>0.42</v>
      </c>
      <c r="V28" s="11">
        <v>0.88</v>
      </c>
      <c r="W28" s="11">
        <v>0.4</v>
      </c>
      <c r="X28" s="11">
        <v>6.0000000000000001E-3</v>
      </c>
      <c r="Y28" s="11">
        <v>0.01</v>
      </c>
      <c r="Z28" s="11">
        <v>0.5</v>
      </c>
      <c r="AA28" s="11">
        <v>0.85</v>
      </c>
    </row>
    <row r="29" spans="1:27">
      <c r="S29" s="2" t="s">
        <v>49</v>
      </c>
      <c r="T29" s="12">
        <v>1.46</v>
      </c>
      <c r="U29" s="11">
        <v>0.36</v>
      </c>
      <c r="V29" s="11">
        <v>0.88</v>
      </c>
      <c r="W29" s="11">
        <v>0.4</v>
      </c>
      <c r="X29" s="11">
        <v>6.0000000000000001E-3</v>
      </c>
      <c r="Y29" s="11">
        <v>0.01</v>
      </c>
      <c r="Z29" s="11">
        <v>0.5</v>
      </c>
      <c r="AA29" s="11">
        <v>0.85</v>
      </c>
    </row>
    <row r="30" spans="1:27">
      <c r="S30" s="2" t="s">
        <v>50</v>
      </c>
      <c r="T30" s="12">
        <v>1.37</v>
      </c>
      <c r="U30" s="11">
        <v>0.51</v>
      </c>
      <c r="V30" s="11">
        <v>0.87</v>
      </c>
      <c r="W30" s="11">
        <v>0.4</v>
      </c>
      <c r="X30" s="11">
        <v>8.9999999999999993E-3</v>
      </c>
      <c r="Y30" s="11">
        <v>0.01</v>
      </c>
      <c r="Z30" s="11">
        <v>0.5</v>
      </c>
      <c r="AA30" s="11">
        <v>0.85</v>
      </c>
    </row>
    <row r="31" spans="1:27">
      <c r="S31" s="2" t="s">
        <v>33</v>
      </c>
      <c r="T31" s="12">
        <v>0.34</v>
      </c>
      <c r="U31" s="11">
        <v>0.43</v>
      </c>
      <c r="V31" s="11">
        <v>0.25</v>
      </c>
      <c r="W31" s="11">
        <v>0.4</v>
      </c>
      <c r="X31" s="11">
        <v>0.02</v>
      </c>
      <c r="Y31" s="11">
        <v>0.01</v>
      </c>
      <c r="Z31" s="11" t="s">
        <v>55</v>
      </c>
      <c r="AA31" s="11">
        <v>0.85</v>
      </c>
    </row>
    <row r="32" spans="1:27">
      <c r="S32" s="2" t="s">
        <v>51</v>
      </c>
      <c r="T32" s="12">
        <v>1.07</v>
      </c>
      <c r="U32" s="11">
        <v>0.2</v>
      </c>
      <c r="V32" s="11">
        <v>0.8</v>
      </c>
      <c r="W32" s="11">
        <v>0.42</v>
      </c>
      <c r="X32" s="11">
        <v>1.6E-2</v>
      </c>
      <c r="Y32" s="11">
        <v>1.4E-2</v>
      </c>
      <c r="Z32" s="11">
        <v>0.5</v>
      </c>
      <c r="AA32" s="11">
        <v>0.85</v>
      </c>
    </row>
    <row r="33" spans="19:27">
      <c r="S33" s="2" t="s">
        <v>42</v>
      </c>
      <c r="T33" s="12">
        <v>0.25</v>
      </c>
      <c r="U33" s="11">
        <v>0.45</v>
      </c>
      <c r="V33" s="11">
        <v>0.2</v>
      </c>
      <c r="W33" s="11">
        <v>0.4</v>
      </c>
      <c r="X33" s="11">
        <v>5.0000000000000001E-3</v>
      </c>
      <c r="Y33" s="11">
        <v>7.0000000000000001E-3</v>
      </c>
      <c r="Z33" s="11">
        <v>1</v>
      </c>
      <c r="AA33" s="11">
        <v>0.8</v>
      </c>
    </row>
    <row r="34" spans="19:27">
      <c r="S34" s="2" t="s">
        <v>3</v>
      </c>
      <c r="T34" s="12">
        <v>1.9</v>
      </c>
      <c r="U34" s="11">
        <v>0.3</v>
      </c>
      <c r="V34" s="11">
        <v>0.9</v>
      </c>
      <c r="W34" s="11">
        <v>0.4</v>
      </c>
      <c r="X34" s="11">
        <v>0.01</v>
      </c>
      <c r="Y34" s="11">
        <v>0.01</v>
      </c>
      <c r="Z34" s="11" t="s">
        <v>55</v>
      </c>
      <c r="AA34" s="11">
        <v>0.85</v>
      </c>
    </row>
    <row r="35" spans="19:27">
      <c r="S35" s="2" t="s">
        <v>52</v>
      </c>
      <c r="T35" s="12">
        <v>1.5</v>
      </c>
      <c r="U35" s="11">
        <v>0.28999999999999998</v>
      </c>
      <c r="V35" s="11">
        <v>0.88</v>
      </c>
      <c r="W35" s="11">
        <v>0.4</v>
      </c>
      <c r="X35" s="11">
        <v>6.0000000000000001E-3</v>
      </c>
      <c r="Y35" s="11" t="s">
        <v>55</v>
      </c>
      <c r="Z35" s="11" t="s">
        <v>56</v>
      </c>
      <c r="AA35" s="11">
        <v>0.85</v>
      </c>
    </row>
    <row r="36" spans="19:27">
      <c r="S36" s="2" t="s">
        <v>53</v>
      </c>
      <c r="T36" s="12">
        <v>2.08</v>
      </c>
      <c r="U36" s="11">
        <v>0.33</v>
      </c>
      <c r="V36" s="11">
        <v>0.96</v>
      </c>
      <c r="W36" s="11">
        <v>0.4</v>
      </c>
      <c r="X36" s="11">
        <v>8.9999999999999993E-3</v>
      </c>
      <c r="Y36" s="11">
        <v>0.01</v>
      </c>
      <c r="Z36" s="11">
        <v>0.5</v>
      </c>
      <c r="AA36" s="11">
        <v>0.85</v>
      </c>
    </row>
    <row r="37" spans="19:27">
      <c r="S37" s="2" t="s">
        <v>32</v>
      </c>
      <c r="T37" s="12">
        <v>1.34</v>
      </c>
      <c r="U37" s="11">
        <v>0.37</v>
      </c>
      <c r="V37" s="11">
        <v>0.88</v>
      </c>
      <c r="W37" s="11">
        <v>0.4</v>
      </c>
      <c r="X37" s="11">
        <v>6.0000000000000001E-3</v>
      </c>
      <c r="Y37" s="11">
        <v>0.01</v>
      </c>
      <c r="Z37" s="11" t="s">
        <v>55</v>
      </c>
      <c r="AA37" s="11">
        <v>0.85</v>
      </c>
    </row>
    <row r="38" spans="19:27">
      <c r="S38" s="2" t="s">
        <v>69</v>
      </c>
      <c r="T38" s="10">
        <v>1</v>
      </c>
      <c r="U38" s="10">
        <v>0.22</v>
      </c>
      <c r="V38" s="10">
        <v>0.85</v>
      </c>
      <c r="W38" s="10">
        <v>0.4</v>
      </c>
      <c r="X38" s="10">
        <v>8.0000000000000002E-3</v>
      </c>
      <c r="Y38" s="10">
        <v>8.9999999999999993E-3</v>
      </c>
      <c r="Z38" s="10" t="s">
        <v>16</v>
      </c>
      <c r="AA38" s="10" t="s">
        <v>55</v>
      </c>
    </row>
    <row r="39" spans="19:27">
      <c r="S39" s="2" t="s">
        <v>58</v>
      </c>
      <c r="T39" s="10">
        <v>1.5</v>
      </c>
      <c r="U39" s="10">
        <v>0.28999999999999998</v>
      </c>
      <c r="V39" s="10">
        <v>0.88</v>
      </c>
      <c r="W39" s="10">
        <v>0.4</v>
      </c>
      <c r="X39" s="10">
        <v>6.0000000000000001E-3</v>
      </c>
      <c r="Y39" s="10" t="s">
        <v>16</v>
      </c>
      <c r="Z39" s="10" t="s">
        <v>16</v>
      </c>
      <c r="AA39" s="10" t="s">
        <v>55</v>
      </c>
    </row>
    <row r="40" spans="19:27">
      <c r="S40" s="2"/>
      <c r="T40" s="12"/>
      <c r="U40" s="11"/>
      <c r="V40" s="11"/>
      <c r="W40" s="11"/>
      <c r="X40" s="11"/>
      <c r="Y40" s="11"/>
      <c r="Z40" s="11"/>
      <c r="AA40" s="11"/>
    </row>
    <row r="41" spans="19:27">
      <c r="S41" s="2"/>
      <c r="T41" s="2"/>
    </row>
    <row r="42" spans="19:27">
      <c r="S42" s="2" t="s">
        <v>27</v>
      </c>
      <c r="T42" s="2" t="s">
        <v>28</v>
      </c>
      <c r="U42" s="2" t="s">
        <v>29</v>
      </c>
    </row>
    <row r="43" spans="19:27">
      <c r="S43" s="2" t="s">
        <v>31</v>
      </c>
      <c r="T43" s="2" t="s">
        <v>30</v>
      </c>
      <c r="U43">
        <v>0.06</v>
      </c>
    </row>
    <row r="44" spans="19:27">
      <c r="S44" s="2" t="s">
        <v>33</v>
      </c>
      <c r="T44" s="2" t="s">
        <v>30</v>
      </c>
      <c r="U44">
        <v>1</v>
      </c>
    </row>
    <row r="45" spans="19:27">
      <c r="S45" t="s">
        <v>3</v>
      </c>
      <c r="T45" s="2" t="s">
        <v>30</v>
      </c>
      <c r="U45">
        <v>0</v>
      </c>
    </row>
    <row r="46" spans="19:27">
      <c r="S46" s="2" t="s">
        <v>52</v>
      </c>
      <c r="T46" s="2" t="s">
        <v>30</v>
      </c>
      <c r="U46">
        <v>0</v>
      </c>
    </row>
    <row r="47" spans="19:27">
      <c r="S47" s="2" t="s">
        <v>32</v>
      </c>
      <c r="T47" s="2" t="s">
        <v>30</v>
      </c>
      <c r="U47">
        <v>0.8</v>
      </c>
    </row>
    <row r="48" spans="19:27">
      <c r="S48" s="2" t="s">
        <v>39</v>
      </c>
      <c r="T48" s="2" t="s">
        <v>34</v>
      </c>
      <c r="U48">
        <v>0</v>
      </c>
    </row>
    <row r="49" spans="19:21">
      <c r="S49" s="2" t="s">
        <v>39</v>
      </c>
      <c r="T49" s="2" t="s">
        <v>35</v>
      </c>
      <c r="U49">
        <v>0.03</v>
      </c>
    </row>
    <row r="50" spans="19:21">
      <c r="S50" s="2" t="s">
        <v>39</v>
      </c>
      <c r="T50" s="2" t="s">
        <v>36</v>
      </c>
      <c r="U50">
        <v>0</v>
      </c>
    </row>
    <row r="51" spans="19:21">
      <c r="S51" s="2" t="s">
        <v>38</v>
      </c>
      <c r="T51" s="2" t="s">
        <v>34</v>
      </c>
      <c r="U51">
        <v>0.05</v>
      </c>
    </row>
    <row r="52" spans="19:21">
      <c r="S52" s="2" t="s">
        <v>38</v>
      </c>
      <c r="T52" s="2" t="s">
        <v>37</v>
      </c>
      <c r="U52">
        <v>7.0000000000000007E-2</v>
      </c>
    </row>
    <row r="53" spans="19:21">
      <c r="S53" s="2" t="s">
        <v>38</v>
      </c>
      <c r="T53" s="2" t="s">
        <v>35</v>
      </c>
      <c r="U53">
        <v>0.04</v>
      </c>
    </row>
    <row r="54" spans="19:21">
      <c r="S54" s="2" t="s">
        <v>38</v>
      </c>
      <c r="T54" s="2" t="s">
        <v>57</v>
      </c>
      <c r="U54">
        <v>0.09</v>
      </c>
    </row>
    <row r="55" spans="19:21">
      <c r="S55" s="2" t="s">
        <v>38</v>
      </c>
      <c r="T55" s="2" t="s">
        <v>36</v>
      </c>
      <c r="U55">
        <v>0.11</v>
      </c>
    </row>
    <row r="56" spans="19:21">
      <c r="S56" s="2" t="s">
        <v>38</v>
      </c>
      <c r="T56" s="2" t="s">
        <v>60</v>
      </c>
      <c r="U56">
        <v>0.16</v>
      </c>
    </row>
    <row r="57" spans="19:21">
      <c r="S57" s="2" t="s">
        <v>38</v>
      </c>
      <c r="T57" s="2" t="s">
        <v>61</v>
      </c>
      <c r="U57">
        <v>0.01</v>
      </c>
    </row>
    <row r="58" spans="19:21">
      <c r="S58" s="2" t="s">
        <v>38</v>
      </c>
      <c r="T58" s="2" t="s">
        <v>59</v>
      </c>
      <c r="U58">
        <v>0</v>
      </c>
    </row>
  </sheetData>
  <dataConsolidate/>
  <pageMargins left="0.7" right="0.7" top="0.75" bottom="0.75" header="0.3" footer="0.3"/>
  <ignoredErrors>
    <ignoredError sqref="M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2026-10-22T06:06:57Z</dcterms:modified>
</cp:coreProperties>
</file>